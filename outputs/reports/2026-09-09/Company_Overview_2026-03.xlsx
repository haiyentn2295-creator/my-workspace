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Dashboard" sheetId="1" state="visible" r:id="rId1"/>
    <sheet name="Master_Data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₫"/>
    <numFmt numFmtId="165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02060"/>
      <sz val="13"/>
    </font>
    <font>
      <name val="Segoe UI"/>
      <i val="1"/>
      <color rgb="00666666"/>
      <sz val="8"/>
    </font>
    <font>
      <name val="Segoe UI"/>
      <b val="1"/>
      <color rgb="001F4E79"/>
      <sz val="13"/>
    </font>
    <font>
      <name val="Segoe UI"/>
      <b val="1"/>
      <color rgb="00375623"/>
      <sz val="13"/>
    </font>
    <font>
      <name val="Segoe UI"/>
      <b val="1"/>
      <color rgb="00C65911"/>
      <sz val="13"/>
    </font>
    <font>
      <name val="Segoe UI"/>
      <b val="1"/>
      <color rgb="001F4E79"/>
      <sz val="11"/>
    </font>
    <font>
      <name val="Segoe UI"/>
      <b val="1"/>
      <color rgb="00FFFFFF"/>
      <sz val="11"/>
    </font>
    <font>
      <name val="Segoe UI"/>
      <b val="1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5F9"/>
        <bgColor rgb="00F2F5F9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F9FAFC"/>
        <bgColor rgb="00F9FAF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/>
    </xf>
    <xf numFmtId="0" fontId="12" fillId="7" borderId="1" applyAlignment="1" pivotButton="0" quotePrefix="0" xfId="0">
      <alignment horizontal="center"/>
    </xf>
    <xf numFmtId="164" fontId="12" fillId="7" borderId="1" applyAlignment="1" pivotButton="0" quotePrefix="0" xfId="0">
      <alignment horizontal="right"/>
    </xf>
    <xf numFmtId="164" fontId="11" fillId="7" borderId="1" applyAlignment="1" pivotButton="0" quotePrefix="0" xfId="0">
      <alignment horizontal="right"/>
    </xf>
    <xf numFmtId="165" fontId="12" fillId="7" borderId="1" applyAlignment="1" pivotButton="0" quotePrefix="0" xfId="0">
      <alignment horizontal="right"/>
    </xf>
    <xf numFmtId="0" fontId="12" fillId="0" borderId="1" applyAlignment="1" pivotButton="0" quotePrefix="0" xfId="0">
      <alignment horizontal="left"/>
    </xf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165" fontId="12" fillId="0" borderId="1" applyAlignment="1" pivotButton="0" quotePrefix="0" xfId="0">
      <alignment horizontal="right"/>
    </xf>
    <xf numFmtId="0" fontId="13" fillId="3" borderId="2" applyAlignment="1" pivotButton="0" quotePrefix="0" xfId="0">
      <alignment horizontal="left"/>
    </xf>
    <xf numFmtId="0" fontId="13" fillId="3" borderId="2" applyAlignment="1" pivotButton="0" quotePrefix="0" xfId="0">
      <alignment horizontal="center"/>
    </xf>
    <xf numFmtId="164" fontId="13" fillId="3" borderId="2" applyAlignment="1" pivotButton="0" quotePrefix="0" xfId="0">
      <alignment horizontal="right"/>
    </xf>
    <xf numFmtId="0" fontId="13" fillId="3" borderId="2" applyAlignment="1" pivotButton="0" quotePrefix="0" xfId="0">
      <alignment horizontal="right"/>
    </xf>
    <xf numFmtId="165" fontId="13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8" customWidth="1" min="4" max="4"/>
    <col width="18" customWidth="1" min="5" max="5"/>
    <col width="22" customWidth="1" min="6" max="6"/>
    <col width="20" customWidth="1" min="7" max="7"/>
    <col width="16" customWidth="1" min="8" max="8"/>
  </cols>
  <sheetData>
    <row r="1" ht="42" customHeight="1">
      <c r="A1" s="1" t="inlineStr">
        <is>
          <t>TỔNG QUAN HIỆU SUẤT &amp; CHI PHÍ VẬN HÀNH THÁNG 2026-03</t>
        </is>
      </c>
    </row>
    <row r="2" ht="20" customHeight="1">
      <c r="A2" s="2" t="inlineStr">
        <is>
          <t>Báo cáo điều hành dành cho Ban Giám Đốc | Tự động tổng hợp từ dữ liệu ERP | Ngày xuất: 09/09/2026 21:46</t>
        </is>
      </c>
    </row>
    <row r="3"/>
    <row r="4" ht="18" customHeight="1">
      <c r="A4" s="3" t="inlineStr">
        <is>
          <t>TỔNG NHÂN SỰ</t>
        </is>
      </c>
      <c r="B4" s="4" t="n"/>
      <c r="C4" s="3" t="inlineStr">
        <is>
          <t>TỔNG THỰC NHẬN (QUỸ LƯƠNG)</t>
        </is>
      </c>
      <c r="D4" s="4" t="n"/>
      <c r="E4" s="5" t="inlineStr">
        <is>
          <t>THU NHẬP TB / NGƯỜI</t>
        </is>
      </c>
      <c r="F4" s="6" t="inlineStr">
        <is>
          <t>TỔNG QUỸ THƯỞNG</t>
        </is>
      </c>
      <c r="G4" s="7" t="inlineStr">
        <is>
          <t>TỔNG TIỀN PHẠT</t>
        </is>
      </c>
    </row>
    <row r="5" ht="26" customHeight="1">
      <c r="A5" s="8" t="inlineStr">
        <is>
          <t>200 người</t>
        </is>
      </c>
      <c r="B5" s="4" t="n"/>
      <c r="C5" s="8" t="inlineStr">
        <is>
          <t>4,070,195,007 ₫</t>
        </is>
      </c>
      <c r="D5" s="4" t="n"/>
      <c r="E5" s="9" t="inlineStr">
        <is>
          <t>20,350,975 ₫</t>
        </is>
      </c>
      <c r="F5" s="10" t="inlineStr">
        <is>
          <t>499,094,030 ₫</t>
        </is>
      </c>
      <c r="G5" s="11" t="inlineStr">
        <is>
          <t>200,612,662 ₫</t>
        </is>
      </c>
    </row>
    <row r="6" ht="18" customHeight="1">
      <c r="A6" s="12" t="inlineStr">
        <is>
          <t>100% định biên hoạt động</t>
        </is>
      </c>
      <c r="B6" s="4" t="n"/>
      <c r="C6" s="12" t="inlineStr">
        <is>
          <t>Lương CB: 3,771,713,639 ₫</t>
        </is>
      </c>
      <c r="D6" s="4" t="n"/>
      <c r="E6" s="13" t="inlineStr">
        <is>
          <t>Bình quân toàn công ty</t>
        </is>
      </c>
      <c r="F6" s="14" t="inlineStr">
        <is>
          <t>Tỷ lệ: 13.2% LCB</t>
        </is>
      </c>
      <c r="G6" s="15" t="inlineStr">
        <is>
          <t>Tỷ lệ: 5.3% LCB</t>
        </is>
      </c>
    </row>
    <row r="7"/>
    <row r="8">
      <c r="A8" s="16" t="inlineStr">
        <is>
          <t>1. BẢNG PHÂN BỔ QUỸ LƯƠNG &amp; HIỆU SUẤT THEO PHÒNG BAN</t>
        </is>
      </c>
    </row>
    <row r="9" ht="26" customHeight="1">
      <c r="A9" s="17" t="inlineStr">
        <is>
          <t>Phòng Ban</t>
        </is>
      </c>
      <c r="B9" s="17" t="inlineStr">
        <is>
          <t>Nhân Sự</t>
        </is>
      </c>
      <c r="C9" s="17" t="inlineStr">
        <is>
          <t>Lương Cơ Bản</t>
        </is>
      </c>
      <c r="D9" s="17" t="inlineStr">
        <is>
          <t>Tổng Thưởng</t>
        </is>
      </c>
      <c r="E9" s="17" t="inlineStr">
        <is>
          <t>Tổng Phạt</t>
        </is>
      </c>
      <c r="F9" s="17" t="inlineStr">
        <is>
          <t>Tổng Thực Nhận</t>
        </is>
      </c>
      <c r="G9" s="17" t="inlineStr">
        <is>
          <t>Thực Nhận TB</t>
        </is>
      </c>
      <c r="H9" s="17" t="inlineStr">
        <is>
          <t>Tỷ Trọng Quỹ</t>
        </is>
      </c>
    </row>
    <row r="10" ht="20" customHeight="1">
      <c r="A10" s="18" t="inlineStr">
        <is>
          <t>HR</t>
        </is>
      </c>
      <c r="B10" s="19" t="n">
        <v>58</v>
      </c>
      <c r="C10" s="20" t="n">
        <v>1109114321</v>
      </c>
      <c r="D10" s="20" t="n">
        <v>157372333</v>
      </c>
      <c r="E10" s="20" t="n">
        <v>60793919</v>
      </c>
      <c r="F10" s="21" t="n">
        <v>1205692735</v>
      </c>
      <c r="G10" s="20" t="n">
        <v>20787805</v>
      </c>
      <c r="H10" s="22" t="n">
        <v>0.2962248081299363</v>
      </c>
    </row>
    <row r="11" ht="20" customHeight="1">
      <c r="A11" s="23" t="inlineStr">
        <is>
          <t>Operations</t>
        </is>
      </c>
      <c r="B11" s="24" t="n">
        <v>48</v>
      </c>
      <c r="C11" s="25" t="n">
        <v>936887127</v>
      </c>
      <c r="D11" s="25" t="n">
        <v>119944562</v>
      </c>
      <c r="E11" s="25" t="n">
        <v>53974493</v>
      </c>
      <c r="F11" s="26" t="n">
        <v>1002857196</v>
      </c>
      <c r="G11" s="25" t="n">
        <v>20892858</v>
      </c>
      <c r="H11" s="27" t="n">
        <v>0.2463904540876461</v>
      </c>
    </row>
    <row r="12" ht="20" customHeight="1">
      <c r="A12" s="18" t="inlineStr">
        <is>
          <t>Finance</t>
        </is>
      </c>
      <c r="B12" s="19" t="n">
        <v>50</v>
      </c>
      <c r="C12" s="20" t="n">
        <v>908342279</v>
      </c>
      <c r="D12" s="20" t="n">
        <v>108759459</v>
      </c>
      <c r="E12" s="20" t="n">
        <v>42738444</v>
      </c>
      <c r="F12" s="21" t="n">
        <v>974363294</v>
      </c>
      <c r="G12" s="20" t="n">
        <v>19487265</v>
      </c>
      <c r="H12" s="22" t="n">
        <v>0.2393898307880264</v>
      </c>
    </row>
    <row r="13" ht="20" customHeight="1">
      <c r="A13" s="23" t="inlineStr">
        <is>
          <t>Sales</t>
        </is>
      </c>
      <c r="B13" s="24" t="n">
        <v>44</v>
      </c>
      <c r="C13" s="25" t="n">
        <v>817369912</v>
      </c>
      <c r="D13" s="25" t="n">
        <v>113017676</v>
      </c>
      <c r="E13" s="25" t="n">
        <v>43105806</v>
      </c>
      <c r="F13" s="26" t="n">
        <v>887281782</v>
      </c>
      <c r="G13" s="25" t="n">
        <v>20165495</v>
      </c>
      <c r="H13" s="27" t="n">
        <v>0.2179949069943911</v>
      </c>
    </row>
    <row r="14" ht="24" customHeight="1">
      <c r="A14" s="28" t="inlineStr">
        <is>
          <t>TỔNG CỘNG</t>
        </is>
      </c>
      <c r="B14" s="29">
        <f>SUM(B10:B13)</f>
        <v/>
      </c>
      <c r="C14" s="30">
        <f>SUM(C10:C13)</f>
        <v/>
      </c>
      <c r="D14" s="30">
        <f>SUM(D10:D13)</f>
        <v/>
      </c>
      <c r="E14" s="30">
        <f>SUM(E10:E13)</f>
        <v/>
      </c>
      <c r="F14" s="30">
        <f>SUM(F10:F13)</f>
        <v/>
      </c>
      <c r="G14" s="30">
        <f>AVERAGE(G10:G13)</f>
        <v/>
      </c>
      <c r="H14" s="31" t="inlineStr">
        <is>
          <t>100.0%</t>
        </is>
      </c>
    </row>
    <row r="15"/>
    <row r="16"/>
    <row r="17">
      <c r="A17" s="16" t="inlineStr">
        <is>
          <t>2. BẢNG PHÂN TÍCH HIỆU QUẢ QUẢN LÝ THEO MANAGER</t>
        </is>
      </c>
    </row>
    <row r="18" ht="26" customHeight="1">
      <c r="A18" s="17" t="inlineStr">
        <is>
          <t>Quản Lý (Manager)</t>
        </is>
      </c>
      <c r="B18" s="17" t="inlineStr">
        <is>
          <t>Nhân Sự Quản Lý</t>
        </is>
      </c>
      <c r="C18" s="17" t="inlineStr">
        <is>
          <t>Tổng Lương CB</t>
        </is>
      </c>
      <c r="D18" s="17" t="inlineStr">
        <is>
          <t>Tổng Thưởng</t>
        </is>
      </c>
      <c r="E18" s="17" t="inlineStr">
        <is>
          <t>Tổng Phạt</t>
        </is>
      </c>
      <c r="F18" s="17" t="inlineStr">
        <is>
          <t>Tổng Thực Nhận</t>
        </is>
      </c>
      <c r="G18" s="17" t="inlineStr">
        <is>
          <t>% Thưởng/LCB</t>
        </is>
      </c>
      <c r="H18" s="17" t="inlineStr">
        <is>
          <t>% Phạt/LCB</t>
        </is>
      </c>
    </row>
    <row r="19" ht="20" customHeight="1">
      <c r="A19" s="23" t="inlineStr">
        <is>
          <t>Manager_A</t>
        </is>
      </c>
      <c r="B19" s="24" t="n">
        <v>62</v>
      </c>
      <c r="C19" s="25" t="n">
        <v>1159186631</v>
      </c>
      <c r="D19" s="25" t="n">
        <v>159356385</v>
      </c>
      <c r="E19" s="25" t="n">
        <v>59168516</v>
      </c>
      <c r="F19" s="26" t="n">
        <v>1259374500</v>
      </c>
      <c r="G19" s="27">
        <f>D19/C19</f>
        <v/>
      </c>
      <c r="H19" s="27">
        <f>E19/C19</f>
        <v/>
      </c>
    </row>
    <row r="20" ht="20" customHeight="1">
      <c r="A20" s="18" t="inlineStr">
        <is>
          <t>Manager_B</t>
        </is>
      </c>
      <c r="B20" s="19" t="n">
        <v>37</v>
      </c>
      <c r="C20" s="20" t="n">
        <v>710681754</v>
      </c>
      <c r="D20" s="20" t="n">
        <v>86680561</v>
      </c>
      <c r="E20" s="20" t="n">
        <v>37669431</v>
      </c>
      <c r="F20" s="21" t="n">
        <v>759692884</v>
      </c>
      <c r="G20" s="22">
        <f>D20/C20</f>
        <v/>
      </c>
      <c r="H20" s="22">
        <f>E20/C20</f>
        <v/>
      </c>
    </row>
    <row r="21" ht="20" customHeight="1">
      <c r="A21" s="23" t="inlineStr">
        <is>
          <t>Manager_C</t>
        </is>
      </c>
      <c r="B21" s="24" t="n">
        <v>51</v>
      </c>
      <c r="C21" s="25" t="n">
        <v>1010803313</v>
      </c>
      <c r="D21" s="25" t="n">
        <v>129704785</v>
      </c>
      <c r="E21" s="25" t="n">
        <v>54318283</v>
      </c>
      <c r="F21" s="26" t="n">
        <v>1086189815</v>
      </c>
      <c r="G21" s="27">
        <f>D21/C21</f>
        <v/>
      </c>
      <c r="H21" s="27">
        <f>E21/C21</f>
        <v/>
      </c>
    </row>
    <row r="22" ht="20" customHeight="1">
      <c r="A22" s="18" t="inlineStr">
        <is>
          <t>Manager_D</t>
        </is>
      </c>
      <c r="B22" s="19" t="n">
        <v>50</v>
      </c>
      <c r="C22" s="20" t="n">
        <v>891041941</v>
      </c>
      <c r="D22" s="20" t="n">
        <v>123352299</v>
      </c>
      <c r="E22" s="20" t="n">
        <v>49456432</v>
      </c>
      <c r="F22" s="21" t="n">
        <v>964937808</v>
      </c>
      <c r="G22" s="22">
        <f>D22/C22</f>
        <v/>
      </c>
      <c r="H22" s="22">
        <f>E22/C22</f>
        <v/>
      </c>
    </row>
    <row r="23" ht="24" customHeight="1">
      <c r="A23" s="28" t="inlineStr">
        <is>
          <t>TỔNG CỘNG</t>
        </is>
      </c>
      <c r="B23" s="29">
        <f>SUM(B19:B22)</f>
        <v/>
      </c>
      <c r="C23" s="30">
        <f>SUM(C19:C22)</f>
        <v/>
      </c>
      <c r="D23" s="30">
        <f>SUM(D19:D22)</f>
        <v/>
      </c>
      <c r="E23" s="30">
        <f>SUM(E19:E22)</f>
        <v/>
      </c>
      <c r="F23" s="30">
        <f>SUM(F19:F22)</f>
        <v/>
      </c>
      <c r="G23" s="32">
        <f>D23/C23</f>
        <v/>
      </c>
      <c r="H23" s="32">
        <f>E23/C23</f>
        <v/>
      </c>
    </row>
  </sheetData>
  <mergeCells count="7">
    <mergeCell ref="A4:B4"/>
    <mergeCell ref="A1:G1"/>
    <mergeCell ref="C6:D6"/>
    <mergeCell ref="C5:D5"/>
    <mergeCell ref="A5:B5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4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1" ht="26" customHeight="1">
      <c r="A1" s="17" t="inlineStr">
        <is>
          <t>Mã Nhân Viên</t>
        </is>
      </c>
      <c r="B1" s="17" t="inlineStr">
        <is>
          <t>Họ Tên</t>
        </is>
      </c>
      <c r="C1" s="17" t="inlineStr">
        <is>
          <t>Quản Lý (Manager)</t>
        </is>
      </c>
      <c r="D1" s="17" t="inlineStr">
        <is>
          <t>Phòng Ban</t>
        </is>
      </c>
      <c r="E1" s="17" t="inlineStr">
        <is>
          <t>Lương Cơ Bản</t>
        </is>
      </c>
      <c r="F1" s="17" t="inlineStr">
        <is>
          <t>Thưởng</t>
        </is>
      </c>
      <c r="G1" s="17" t="inlineStr">
        <is>
          <t>Phạt</t>
        </is>
      </c>
      <c r="H1" s="17" t="inlineStr">
        <is>
          <t>Thực Nhận</t>
        </is>
      </c>
      <c r="I1" s="17" t="inlineStr">
        <is>
          <t>% Thưởng</t>
        </is>
      </c>
      <c r="J1" s="17" t="inlineStr">
        <is>
          <t>% Phạt</t>
        </is>
      </c>
      <c r="K1" s="17" t="inlineStr">
        <is>
          <t>Kỳ Báo Cáo</t>
        </is>
      </c>
    </row>
    <row r="2" ht="19" customHeight="1">
      <c r="A2" s="19" t="inlineStr">
        <is>
          <t>E001</t>
        </is>
      </c>
      <c r="B2" s="18" t="inlineStr">
        <is>
          <t>Employee_1</t>
        </is>
      </c>
      <c r="C2" s="19" t="inlineStr">
        <is>
          <t>Manager_B</t>
        </is>
      </c>
      <c r="D2" s="19" t="inlineStr">
        <is>
          <t>Operations</t>
        </is>
      </c>
      <c r="E2" s="20" t="n">
        <v>29672904</v>
      </c>
      <c r="F2" s="20" t="n">
        <v>4117307</v>
      </c>
      <c r="G2" s="20" t="n">
        <v>939890</v>
      </c>
      <c r="H2" s="21">
        <f>E2+F2-G2</f>
        <v/>
      </c>
      <c r="I2" s="22">
        <f>F2/E2</f>
        <v/>
      </c>
      <c r="J2" s="22">
        <f>G2/E2</f>
        <v/>
      </c>
      <c r="K2" s="19" t="inlineStr">
        <is>
          <t>2026-03</t>
        </is>
      </c>
    </row>
    <row r="3" ht="19" customHeight="1">
      <c r="A3" s="24" t="inlineStr">
        <is>
          <t>E002</t>
        </is>
      </c>
      <c r="B3" s="23" t="inlineStr">
        <is>
          <t>Employee_2</t>
        </is>
      </c>
      <c r="C3" s="24" t="inlineStr">
        <is>
          <t>Manager_A</t>
        </is>
      </c>
      <c r="D3" s="24" t="inlineStr">
        <is>
          <t>Sales</t>
        </is>
      </c>
      <c r="E3" s="25" t="n">
        <v>17872907</v>
      </c>
      <c r="F3" s="25" t="n">
        <v>1858885</v>
      </c>
      <c r="G3" s="25" t="n">
        <v>848090</v>
      </c>
      <c r="H3" s="26">
        <f>E3+F3-G3</f>
        <v/>
      </c>
      <c r="I3" s="27">
        <f>F3/E3</f>
        <v/>
      </c>
      <c r="J3" s="27">
        <f>G3/E3</f>
        <v/>
      </c>
      <c r="K3" s="24" t="inlineStr">
        <is>
          <t>2026-03</t>
        </is>
      </c>
    </row>
    <row r="4" ht="19" customHeight="1">
      <c r="A4" s="19" t="inlineStr">
        <is>
          <t>E003</t>
        </is>
      </c>
      <c r="B4" s="18" t="inlineStr">
        <is>
          <t>Employee_3</t>
        </is>
      </c>
      <c r="C4" s="19" t="inlineStr">
        <is>
          <t>Manager_B</t>
        </is>
      </c>
      <c r="D4" s="19" t="inlineStr">
        <is>
          <t>Finance</t>
        </is>
      </c>
      <c r="E4" s="20" t="n">
        <v>27513767</v>
      </c>
      <c r="F4" s="20" t="n">
        <v>3095567</v>
      </c>
      <c r="G4" s="20" t="n">
        <v>992499</v>
      </c>
      <c r="H4" s="21">
        <f>E4+F4-G4</f>
        <v/>
      </c>
      <c r="I4" s="22">
        <f>F4/E4</f>
        <v/>
      </c>
      <c r="J4" s="22">
        <f>G4/E4</f>
        <v/>
      </c>
      <c r="K4" s="19" t="inlineStr">
        <is>
          <t>2026-03</t>
        </is>
      </c>
    </row>
    <row r="5" ht="19" customHeight="1">
      <c r="A5" s="24" t="inlineStr">
        <is>
          <t>E004</t>
        </is>
      </c>
      <c r="B5" s="23" t="inlineStr">
        <is>
          <t>Employee_4</t>
        </is>
      </c>
      <c r="C5" s="24" t="inlineStr">
        <is>
          <t>Manager_C</t>
        </is>
      </c>
      <c r="D5" s="24" t="inlineStr">
        <is>
          <t>Operations</t>
        </is>
      </c>
      <c r="E5" s="25" t="n">
        <v>26467972</v>
      </c>
      <c r="F5" s="25" t="n">
        <v>2774878</v>
      </c>
      <c r="G5" s="25" t="n">
        <v>737800</v>
      </c>
      <c r="H5" s="26">
        <f>E5+F5-G5</f>
        <v/>
      </c>
      <c r="I5" s="27">
        <f>F5/E5</f>
        <v/>
      </c>
      <c r="J5" s="27">
        <f>G5/E5</f>
        <v/>
      </c>
      <c r="K5" s="24" t="inlineStr">
        <is>
          <t>2026-03</t>
        </is>
      </c>
    </row>
    <row r="6" ht="19" customHeight="1">
      <c r="A6" s="19" t="inlineStr">
        <is>
          <t>E005</t>
        </is>
      </c>
      <c r="B6" s="18" t="inlineStr">
        <is>
          <t>Employee_5</t>
        </is>
      </c>
      <c r="C6" s="19" t="inlineStr">
        <is>
          <t>Manager_D</t>
        </is>
      </c>
      <c r="D6" s="19" t="inlineStr">
        <is>
          <t>Finance</t>
        </is>
      </c>
      <c r="E6" s="20" t="n">
        <v>18288560</v>
      </c>
      <c r="F6" s="20" t="n">
        <v>2108926</v>
      </c>
      <c r="G6" s="20" t="n">
        <v>483473</v>
      </c>
      <c r="H6" s="21">
        <f>E6+F6-G6</f>
        <v/>
      </c>
      <c r="I6" s="22">
        <f>F6/E6</f>
        <v/>
      </c>
      <c r="J6" s="22">
        <f>G6/E6</f>
        <v/>
      </c>
      <c r="K6" s="19" t="inlineStr">
        <is>
          <t>2026-03</t>
        </is>
      </c>
    </row>
    <row r="7" ht="19" customHeight="1">
      <c r="A7" s="24" t="inlineStr">
        <is>
          <t>E006</t>
        </is>
      </c>
      <c r="B7" s="23" t="inlineStr">
        <is>
          <t>Employee_6</t>
        </is>
      </c>
      <c r="C7" s="24" t="inlineStr">
        <is>
          <t>Manager_A</t>
        </is>
      </c>
      <c r="D7" s="24" t="inlineStr">
        <is>
          <t>HR</t>
        </is>
      </c>
      <c r="E7" s="25" t="n">
        <v>18588032</v>
      </c>
      <c r="F7" s="25" t="n">
        <v>1002897</v>
      </c>
      <c r="G7" s="25" t="n">
        <v>1557934</v>
      </c>
      <c r="H7" s="26">
        <f>E7+F7-G7</f>
        <v/>
      </c>
      <c r="I7" s="27">
        <f>F7/E7</f>
        <v/>
      </c>
      <c r="J7" s="27">
        <f>G7/E7</f>
        <v/>
      </c>
      <c r="K7" s="24" t="inlineStr">
        <is>
          <t>2026-03</t>
        </is>
      </c>
    </row>
    <row r="8" ht="19" customHeight="1">
      <c r="A8" s="19" t="inlineStr">
        <is>
          <t>E007</t>
        </is>
      </c>
      <c r="B8" s="18" t="inlineStr">
        <is>
          <t>Employee_7</t>
        </is>
      </c>
      <c r="C8" s="19" t="inlineStr">
        <is>
          <t>Manager_B</t>
        </is>
      </c>
      <c r="D8" s="19" t="inlineStr">
        <is>
          <t>HR</t>
        </is>
      </c>
      <c r="E8" s="20" t="n">
        <v>15260663</v>
      </c>
      <c r="F8" s="20" t="n">
        <v>4061752</v>
      </c>
      <c r="G8" s="20" t="n">
        <v>579861</v>
      </c>
      <c r="H8" s="21">
        <f>E8+F8-G8</f>
        <v/>
      </c>
      <c r="I8" s="22">
        <f>F8/E8</f>
        <v/>
      </c>
      <c r="J8" s="22">
        <f>G8/E8</f>
        <v/>
      </c>
      <c r="K8" s="19" t="inlineStr">
        <is>
          <t>2026-03</t>
        </is>
      </c>
    </row>
    <row r="9" ht="19" customHeight="1">
      <c r="A9" s="24" t="inlineStr">
        <is>
          <t>E008</t>
        </is>
      </c>
      <c r="B9" s="23" t="inlineStr">
        <is>
          <t>Employee_8</t>
        </is>
      </c>
      <c r="C9" s="24" t="inlineStr">
        <is>
          <t>Manager_C</t>
        </is>
      </c>
      <c r="D9" s="24" t="inlineStr">
        <is>
          <t>Sales</t>
        </is>
      </c>
      <c r="E9" s="25" t="n">
        <v>14513505</v>
      </c>
      <c r="F9" s="25" t="n">
        <v>2485095</v>
      </c>
      <c r="G9" s="25" t="n">
        <v>477066</v>
      </c>
      <c r="H9" s="26">
        <f>E9+F9-G9</f>
        <v/>
      </c>
      <c r="I9" s="27">
        <f>F9/E9</f>
        <v/>
      </c>
      <c r="J9" s="27">
        <f>G9/E9</f>
        <v/>
      </c>
      <c r="K9" s="24" t="inlineStr">
        <is>
          <t>2026-03</t>
        </is>
      </c>
    </row>
    <row r="10" ht="19" customHeight="1">
      <c r="A10" s="19" t="inlineStr">
        <is>
          <t>E009</t>
        </is>
      </c>
      <c r="B10" s="18" t="inlineStr">
        <is>
          <t>Employee_9</t>
        </is>
      </c>
      <c r="C10" s="19" t="inlineStr">
        <is>
          <t>Manager_C</t>
        </is>
      </c>
      <c r="D10" s="19" t="inlineStr">
        <is>
          <t>HR</t>
        </is>
      </c>
      <c r="E10" s="20" t="n">
        <v>18142417</v>
      </c>
      <c r="F10" s="20" t="n">
        <v>118685</v>
      </c>
      <c r="G10" s="20" t="n">
        <v>1484822</v>
      </c>
      <c r="H10" s="21">
        <f>E10+F10-G10</f>
        <v/>
      </c>
      <c r="I10" s="22">
        <f>F10/E10</f>
        <v/>
      </c>
      <c r="J10" s="22">
        <f>G10/E10</f>
        <v/>
      </c>
      <c r="K10" s="19" t="inlineStr">
        <is>
          <t>2026-03</t>
        </is>
      </c>
    </row>
    <row r="11" ht="19" customHeight="1">
      <c r="A11" s="24" t="inlineStr">
        <is>
          <t>E010</t>
        </is>
      </c>
      <c r="B11" s="23" t="inlineStr">
        <is>
          <t>Employee_10</t>
        </is>
      </c>
      <c r="C11" s="24" t="inlineStr">
        <is>
          <t>Manager_B</t>
        </is>
      </c>
      <c r="D11" s="24" t="inlineStr">
        <is>
          <t>Finance</t>
        </is>
      </c>
      <c r="E11" s="25" t="n">
        <v>9527253</v>
      </c>
      <c r="F11" s="25" t="n">
        <v>457397</v>
      </c>
      <c r="G11" s="25" t="n">
        <v>1160477</v>
      </c>
      <c r="H11" s="26">
        <f>E11+F11-G11</f>
        <v/>
      </c>
      <c r="I11" s="27">
        <f>F11/E11</f>
        <v/>
      </c>
      <c r="J11" s="27">
        <f>G11/E11</f>
        <v/>
      </c>
      <c r="K11" s="24" t="inlineStr">
        <is>
          <t>2026-03</t>
        </is>
      </c>
    </row>
    <row r="12" ht="19" customHeight="1">
      <c r="A12" s="19" t="inlineStr">
        <is>
          <t>E011</t>
        </is>
      </c>
      <c r="B12" s="18" t="inlineStr">
        <is>
          <t>Employee_11</t>
        </is>
      </c>
      <c r="C12" s="19" t="inlineStr">
        <is>
          <t>Manager_C</t>
        </is>
      </c>
      <c r="D12" s="19" t="inlineStr">
        <is>
          <t>HR</t>
        </is>
      </c>
      <c r="E12" s="20" t="n">
        <v>29403353</v>
      </c>
      <c r="F12" s="20" t="n">
        <v>4117788</v>
      </c>
      <c r="G12" s="20" t="n">
        <v>215141</v>
      </c>
      <c r="H12" s="21">
        <f>E12+F12-G12</f>
        <v/>
      </c>
      <c r="I12" s="22">
        <f>F12/E12</f>
        <v/>
      </c>
      <c r="J12" s="22">
        <f>G12/E12</f>
        <v/>
      </c>
      <c r="K12" s="19" t="inlineStr">
        <is>
          <t>2026-03</t>
        </is>
      </c>
    </row>
    <row r="13" ht="19" customHeight="1">
      <c r="A13" s="24" t="inlineStr">
        <is>
          <t>E012</t>
        </is>
      </c>
      <c r="B13" s="23" t="inlineStr">
        <is>
          <t>Employee_12</t>
        </is>
      </c>
      <c r="C13" s="24" t="inlineStr">
        <is>
          <t>Manager_A</t>
        </is>
      </c>
      <c r="D13" s="24" t="inlineStr">
        <is>
          <t>Finance</t>
        </is>
      </c>
      <c r="E13" s="25" t="n">
        <v>23750347</v>
      </c>
      <c r="F13" s="25" t="n">
        <v>4015745</v>
      </c>
      <c r="G13" s="25" t="n">
        <v>923730</v>
      </c>
      <c r="H13" s="26">
        <f>E13+F13-G13</f>
        <v/>
      </c>
      <c r="I13" s="27">
        <f>F13/E13</f>
        <v/>
      </c>
      <c r="J13" s="27">
        <f>G13/E13</f>
        <v/>
      </c>
      <c r="K13" s="24" t="inlineStr">
        <is>
          <t>2026-03</t>
        </is>
      </c>
    </row>
    <row r="14" ht="19" customHeight="1">
      <c r="A14" s="19" t="inlineStr">
        <is>
          <t>E013</t>
        </is>
      </c>
      <c r="B14" s="18" t="inlineStr">
        <is>
          <t>Employee_13</t>
        </is>
      </c>
      <c r="C14" s="19" t="inlineStr">
        <is>
          <t>Manager_C</t>
        </is>
      </c>
      <c r="D14" s="19" t="inlineStr">
        <is>
          <t>HR</t>
        </is>
      </c>
      <c r="E14" s="20" t="n">
        <v>9723916</v>
      </c>
      <c r="F14" s="20" t="n">
        <v>2117942</v>
      </c>
      <c r="G14" s="20" t="n">
        <v>1973553</v>
      </c>
      <c r="H14" s="21">
        <f>E14+F14-G14</f>
        <v/>
      </c>
      <c r="I14" s="22">
        <f>F14/E14</f>
        <v/>
      </c>
      <c r="J14" s="22">
        <f>G14/E14</f>
        <v/>
      </c>
      <c r="K14" s="19" t="inlineStr">
        <is>
          <t>2026-03</t>
        </is>
      </c>
    </row>
    <row r="15" ht="19" customHeight="1">
      <c r="A15" s="24" t="inlineStr">
        <is>
          <t>E014</t>
        </is>
      </c>
      <c r="B15" s="23" t="inlineStr">
        <is>
          <t>Employee_14</t>
        </is>
      </c>
      <c r="C15" s="24" t="inlineStr">
        <is>
          <t>Manager_D</t>
        </is>
      </c>
      <c r="D15" s="24" t="inlineStr">
        <is>
          <t>Sales</t>
        </is>
      </c>
      <c r="E15" s="25" t="n">
        <v>10192561</v>
      </c>
      <c r="F15" s="25" t="n">
        <v>3361377</v>
      </c>
      <c r="G15" s="25" t="n">
        <v>1031267</v>
      </c>
      <c r="H15" s="26">
        <f>E15+F15-G15</f>
        <v/>
      </c>
      <c r="I15" s="27">
        <f>F15/E15</f>
        <v/>
      </c>
      <c r="J15" s="27">
        <f>G15/E15</f>
        <v/>
      </c>
      <c r="K15" s="24" t="inlineStr">
        <is>
          <t>2026-03</t>
        </is>
      </c>
    </row>
    <row r="16" ht="19" customHeight="1">
      <c r="A16" s="19" t="inlineStr">
        <is>
          <t>E015</t>
        </is>
      </c>
      <c r="B16" s="18" t="inlineStr">
        <is>
          <t>Employee_15</t>
        </is>
      </c>
      <c r="C16" s="19" t="inlineStr">
        <is>
          <t>Manager_A</t>
        </is>
      </c>
      <c r="D16" s="19" t="inlineStr">
        <is>
          <t>Sales</t>
        </is>
      </c>
      <c r="E16" s="20" t="n">
        <v>13091113</v>
      </c>
      <c r="F16" s="20" t="n">
        <v>1251560</v>
      </c>
      <c r="G16" s="20" t="n">
        <v>1701088</v>
      </c>
      <c r="H16" s="21">
        <f>E16+F16-G16</f>
        <v/>
      </c>
      <c r="I16" s="22">
        <f>F16/E16</f>
        <v/>
      </c>
      <c r="J16" s="22">
        <f>G16/E16</f>
        <v/>
      </c>
      <c r="K16" s="19" t="inlineStr">
        <is>
          <t>2026-03</t>
        </is>
      </c>
    </row>
    <row r="17" ht="19" customHeight="1">
      <c r="A17" s="24" t="inlineStr">
        <is>
          <t>E016</t>
        </is>
      </c>
      <c r="B17" s="23" t="inlineStr">
        <is>
          <t>Employee_16</t>
        </is>
      </c>
      <c r="C17" s="24" t="inlineStr">
        <is>
          <t>Manager_C</t>
        </is>
      </c>
      <c r="D17" s="24" t="inlineStr">
        <is>
          <t>Sales</t>
        </is>
      </c>
      <c r="E17" s="25" t="n">
        <v>16327906</v>
      </c>
      <c r="F17" s="25" t="n">
        <v>993643</v>
      </c>
      <c r="G17" s="25" t="n">
        <v>1170363</v>
      </c>
      <c r="H17" s="26">
        <f>E17+F17-G17</f>
        <v/>
      </c>
      <c r="I17" s="27">
        <f>F17/E17</f>
        <v/>
      </c>
      <c r="J17" s="27">
        <f>G17/E17</f>
        <v/>
      </c>
      <c r="K17" s="24" t="inlineStr">
        <is>
          <t>2026-03</t>
        </is>
      </c>
    </row>
    <row r="18" ht="19" customHeight="1">
      <c r="A18" s="19" t="inlineStr">
        <is>
          <t>E017</t>
        </is>
      </c>
      <c r="B18" s="18" t="inlineStr">
        <is>
          <t>Employee_17</t>
        </is>
      </c>
      <c r="C18" s="19" t="inlineStr">
        <is>
          <t>Manager_D</t>
        </is>
      </c>
      <c r="D18" s="19" t="inlineStr">
        <is>
          <t>HR</t>
        </is>
      </c>
      <c r="E18" s="20" t="n">
        <v>25534624</v>
      </c>
      <c r="F18" s="20" t="n">
        <v>3190842</v>
      </c>
      <c r="G18" s="20" t="n">
        <v>944797</v>
      </c>
      <c r="H18" s="21">
        <f>E18+F18-G18</f>
        <v/>
      </c>
      <c r="I18" s="22">
        <f>F18/E18</f>
        <v/>
      </c>
      <c r="J18" s="22">
        <f>G18/E18</f>
        <v/>
      </c>
      <c r="K18" s="19" t="inlineStr">
        <is>
          <t>2026-03</t>
        </is>
      </c>
    </row>
    <row r="19" ht="19" customHeight="1">
      <c r="A19" s="24" t="inlineStr">
        <is>
          <t>E018</t>
        </is>
      </c>
      <c r="B19" s="23" t="inlineStr">
        <is>
          <t>Employee_18</t>
        </is>
      </c>
      <c r="C19" s="24" t="inlineStr">
        <is>
          <t>Manager_D</t>
        </is>
      </c>
      <c r="D19" s="24" t="inlineStr">
        <is>
          <t>Finance</t>
        </is>
      </c>
      <c r="E19" s="25" t="n">
        <v>27747626</v>
      </c>
      <c r="F19" s="25" t="n">
        <v>3597285</v>
      </c>
      <c r="G19" s="25" t="n">
        <v>640428</v>
      </c>
      <c r="H19" s="26">
        <f>E19+F19-G19</f>
        <v/>
      </c>
      <c r="I19" s="27">
        <f>F19/E19</f>
        <v/>
      </c>
      <c r="J19" s="27">
        <f>G19/E19</f>
        <v/>
      </c>
      <c r="K19" s="24" t="inlineStr">
        <is>
          <t>2026-03</t>
        </is>
      </c>
    </row>
    <row r="20" ht="19" customHeight="1">
      <c r="A20" s="19" t="inlineStr">
        <is>
          <t>E019</t>
        </is>
      </c>
      <c r="B20" s="18" t="inlineStr">
        <is>
          <t>Employee_19</t>
        </is>
      </c>
      <c r="C20" s="19" t="inlineStr">
        <is>
          <t>Manager_A</t>
        </is>
      </c>
      <c r="D20" s="19" t="inlineStr">
        <is>
          <t>Sales</t>
        </is>
      </c>
      <c r="E20" s="20" t="n">
        <v>14972205</v>
      </c>
      <c r="F20" s="20" t="n">
        <v>1770207</v>
      </c>
      <c r="G20" s="20" t="n">
        <v>555003</v>
      </c>
      <c r="H20" s="21">
        <f>E20+F20-G20</f>
        <v/>
      </c>
      <c r="I20" s="22">
        <f>F20/E20</f>
        <v/>
      </c>
      <c r="J20" s="22">
        <f>G20/E20</f>
        <v/>
      </c>
      <c r="K20" s="19" t="inlineStr">
        <is>
          <t>2026-03</t>
        </is>
      </c>
    </row>
    <row r="21" ht="19" customHeight="1">
      <c r="A21" s="24" t="inlineStr">
        <is>
          <t>E020</t>
        </is>
      </c>
      <c r="B21" s="23" t="inlineStr">
        <is>
          <t>Employee_20</t>
        </is>
      </c>
      <c r="C21" s="24" t="inlineStr">
        <is>
          <t>Manager_A</t>
        </is>
      </c>
      <c r="D21" s="24" t="inlineStr">
        <is>
          <t>HR</t>
        </is>
      </c>
      <c r="E21" s="25" t="n">
        <v>16048539</v>
      </c>
      <c r="F21" s="25" t="n">
        <v>1458053</v>
      </c>
      <c r="G21" s="25" t="n">
        <v>1157611</v>
      </c>
      <c r="H21" s="26">
        <f>E21+F21-G21</f>
        <v/>
      </c>
      <c r="I21" s="27">
        <f>F21/E21</f>
        <v/>
      </c>
      <c r="J21" s="27">
        <f>G21/E21</f>
        <v/>
      </c>
      <c r="K21" s="24" t="inlineStr">
        <is>
          <t>2026-03</t>
        </is>
      </c>
    </row>
    <row r="22" ht="19" customHeight="1">
      <c r="A22" s="19" t="inlineStr">
        <is>
          <t>E021</t>
        </is>
      </c>
      <c r="B22" s="18" t="inlineStr">
        <is>
          <t>Employee_21</t>
        </is>
      </c>
      <c r="C22" s="19" t="inlineStr">
        <is>
          <t>Manager_A</t>
        </is>
      </c>
      <c r="D22" s="19" t="inlineStr">
        <is>
          <t>HR</t>
        </is>
      </c>
      <c r="E22" s="20" t="n">
        <v>8089782</v>
      </c>
      <c r="F22" s="20" t="n">
        <v>3426893</v>
      </c>
      <c r="G22" s="20" t="n">
        <v>944774</v>
      </c>
      <c r="H22" s="21">
        <f>E22+F22-G22</f>
        <v/>
      </c>
      <c r="I22" s="22">
        <f>F22/E22</f>
        <v/>
      </c>
      <c r="J22" s="22">
        <f>G22/E22</f>
        <v/>
      </c>
      <c r="K22" s="19" t="inlineStr">
        <is>
          <t>2026-03</t>
        </is>
      </c>
    </row>
    <row r="23" ht="19" customHeight="1">
      <c r="A23" s="24" t="inlineStr">
        <is>
          <t>E022</t>
        </is>
      </c>
      <c r="B23" s="23" t="inlineStr">
        <is>
          <t>Employee_22</t>
        </is>
      </c>
      <c r="C23" s="24" t="inlineStr">
        <is>
          <t>Manager_D</t>
        </is>
      </c>
      <c r="D23" s="24" t="inlineStr">
        <is>
          <t>Finance</t>
        </is>
      </c>
      <c r="E23" s="25" t="n">
        <v>9095211</v>
      </c>
      <c r="F23" s="25" t="n">
        <v>1941763</v>
      </c>
      <c r="G23" s="25" t="n">
        <v>604199</v>
      </c>
      <c r="H23" s="26">
        <f>E23+F23-G23</f>
        <v/>
      </c>
      <c r="I23" s="27">
        <f>F23/E23</f>
        <v/>
      </c>
      <c r="J23" s="27">
        <f>G23/E23</f>
        <v/>
      </c>
      <c r="K23" s="24" t="inlineStr">
        <is>
          <t>2026-03</t>
        </is>
      </c>
    </row>
    <row r="24" ht="19" customHeight="1">
      <c r="A24" s="19" t="inlineStr">
        <is>
          <t>E023</t>
        </is>
      </c>
      <c r="B24" s="18" t="inlineStr">
        <is>
          <t>Employee_23</t>
        </is>
      </c>
      <c r="C24" s="19" t="inlineStr">
        <is>
          <t>Manager_C</t>
        </is>
      </c>
      <c r="D24" s="19" t="inlineStr">
        <is>
          <t>Operations</t>
        </is>
      </c>
      <c r="E24" s="20" t="n">
        <v>10388396</v>
      </c>
      <c r="F24" s="20" t="n">
        <v>1958100</v>
      </c>
      <c r="G24" s="20" t="n">
        <v>1937581</v>
      </c>
      <c r="H24" s="21">
        <f>E24+F24-G24</f>
        <v/>
      </c>
      <c r="I24" s="22">
        <f>F24/E24</f>
        <v/>
      </c>
      <c r="J24" s="22">
        <f>G24/E24</f>
        <v/>
      </c>
      <c r="K24" s="19" t="inlineStr">
        <is>
          <t>2026-03</t>
        </is>
      </c>
    </row>
    <row r="25" ht="19" customHeight="1">
      <c r="A25" s="24" t="inlineStr">
        <is>
          <t>E024</t>
        </is>
      </c>
      <c r="B25" s="23" t="inlineStr">
        <is>
          <t>Employee_24</t>
        </is>
      </c>
      <c r="C25" s="24" t="inlineStr">
        <is>
          <t>Manager_C</t>
        </is>
      </c>
      <c r="D25" s="24" t="inlineStr">
        <is>
          <t>HR</t>
        </is>
      </c>
      <c r="E25" s="25" t="n">
        <v>22265296</v>
      </c>
      <c r="F25" s="25" t="n">
        <v>962813</v>
      </c>
      <c r="G25" s="25" t="n">
        <v>1142030</v>
      </c>
      <c r="H25" s="26">
        <f>E25+F25-G25</f>
        <v/>
      </c>
      <c r="I25" s="27">
        <f>F25/E25</f>
        <v/>
      </c>
      <c r="J25" s="27">
        <f>G25/E25</f>
        <v/>
      </c>
      <c r="K25" s="24" t="inlineStr">
        <is>
          <t>2026-03</t>
        </is>
      </c>
    </row>
    <row r="26" ht="19" customHeight="1">
      <c r="A26" s="19" t="inlineStr">
        <is>
          <t>E025</t>
        </is>
      </c>
      <c r="B26" s="18" t="inlineStr">
        <is>
          <t>Employee_25</t>
        </is>
      </c>
      <c r="C26" s="19" t="inlineStr">
        <is>
          <t>Manager_B</t>
        </is>
      </c>
      <c r="D26" s="19" t="inlineStr">
        <is>
          <t>HR</t>
        </is>
      </c>
      <c r="E26" s="20" t="n">
        <v>16913146</v>
      </c>
      <c r="F26" s="20" t="n">
        <v>1193164</v>
      </c>
      <c r="G26" s="20" t="n">
        <v>149757</v>
      </c>
      <c r="H26" s="21">
        <f>E26+F26-G26</f>
        <v/>
      </c>
      <c r="I26" s="22">
        <f>F26/E26</f>
        <v/>
      </c>
      <c r="J26" s="22">
        <f>G26/E26</f>
        <v/>
      </c>
      <c r="K26" s="19" t="inlineStr">
        <is>
          <t>2026-03</t>
        </is>
      </c>
    </row>
    <row r="27" ht="19" customHeight="1">
      <c r="A27" s="24" t="inlineStr">
        <is>
          <t>E026</t>
        </is>
      </c>
      <c r="B27" s="23" t="inlineStr">
        <is>
          <t>Employee_26</t>
        </is>
      </c>
      <c r="C27" s="24" t="inlineStr">
        <is>
          <t>Manager_A</t>
        </is>
      </c>
      <c r="D27" s="24" t="inlineStr">
        <is>
          <t>HR</t>
        </is>
      </c>
      <c r="E27" s="25" t="n">
        <v>18321739</v>
      </c>
      <c r="F27" s="25" t="n">
        <v>4991591</v>
      </c>
      <c r="G27" s="25" t="n">
        <v>1570678</v>
      </c>
      <c r="H27" s="26">
        <f>E27+F27-G27</f>
        <v/>
      </c>
      <c r="I27" s="27">
        <f>F27/E27</f>
        <v/>
      </c>
      <c r="J27" s="27">
        <f>G27/E27</f>
        <v/>
      </c>
      <c r="K27" s="24" t="inlineStr">
        <is>
          <t>2026-03</t>
        </is>
      </c>
    </row>
    <row r="28" ht="19" customHeight="1">
      <c r="A28" s="19" t="inlineStr">
        <is>
          <t>E027</t>
        </is>
      </c>
      <c r="B28" s="18" t="inlineStr">
        <is>
          <t>Employee_27</t>
        </is>
      </c>
      <c r="C28" s="19" t="inlineStr">
        <is>
          <t>Manager_C</t>
        </is>
      </c>
      <c r="D28" s="19" t="inlineStr">
        <is>
          <t>Operations</t>
        </is>
      </c>
      <c r="E28" s="20" t="n">
        <v>12172616</v>
      </c>
      <c r="F28" s="20" t="n">
        <v>3931723</v>
      </c>
      <c r="G28" s="20" t="n">
        <v>1444262</v>
      </c>
      <c r="H28" s="21">
        <f>E28+F28-G28</f>
        <v/>
      </c>
      <c r="I28" s="22">
        <f>F28/E28</f>
        <v/>
      </c>
      <c r="J28" s="22">
        <f>G28/E28</f>
        <v/>
      </c>
      <c r="K28" s="19" t="inlineStr">
        <is>
          <t>2026-03</t>
        </is>
      </c>
    </row>
    <row r="29" ht="19" customHeight="1">
      <c r="A29" s="24" t="inlineStr">
        <is>
          <t>E028</t>
        </is>
      </c>
      <c r="B29" s="23" t="inlineStr">
        <is>
          <t>Employee_28</t>
        </is>
      </c>
      <c r="C29" s="24" t="inlineStr">
        <is>
          <t>Manager_C</t>
        </is>
      </c>
      <c r="D29" s="24" t="inlineStr">
        <is>
          <t>Operations</t>
        </is>
      </c>
      <c r="E29" s="25" t="n">
        <v>17135066</v>
      </c>
      <c r="F29" s="25" t="n">
        <v>4198264</v>
      </c>
      <c r="G29" s="25" t="n">
        <v>1132423</v>
      </c>
      <c r="H29" s="26">
        <f>E29+F29-G29</f>
        <v/>
      </c>
      <c r="I29" s="27">
        <f>F29/E29</f>
        <v/>
      </c>
      <c r="J29" s="27">
        <f>G29/E29</f>
        <v/>
      </c>
      <c r="K29" s="24" t="inlineStr">
        <is>
          <t>2026-03</t>
        </is>
      </c>
    </row>
    <row r="30" ht="19" customHeight="1">
      <c r="A30" s="19" t="inlineStr">
        <is>
          <t>E029</t>
        </is>
      </c>
      <c r="B30" s="18" t="inlineStr">
        <is>
          <t>Employee_29</t>
        </is>
      </c>
      <c r="C30" s="19" t="inlineStr">
        <is>
          <t>Manager_D</t>
        </is>
      </c>
      <c r="D30" s="19" t="inlineStr">
        <is>
          <t>Operations</t>
        </is>
      </c>
      <c r="E30" s="20" t="n">
        <v>10699180</v>
      </c>
      <c r="F30" s="20" t="n">
        <v>334376</v>
      </c>
      <c r="G30" s="20" t="n">
        <v>1865254</v>
      </c>
      <c r="H30" s="21">
        <f>E30+F30-G30</f>
        <v/>
      </c>
      <c r="I30" s="22">
        <f>F30/E30</f>
        <v/>
      </c>
      <c r="J30" s="22">
        <f>G30/E30</f>
        <v/>
      </c>
      <c r="K30" s="19" t="inlineStr">
        <is>
          <t>2026-03</t>
        </is>
      </c>
    </row>
    <row r="31" ht="19" customHeight="1">
      <c r="A31" s="24" t="inlineStr">
        <is>
          <t>E030</t>
        </is>
      </c>
      <c r="B31" s="23" t="inlineStr">
        <is>
          <t>Employee_30</t>
        </is>
      </c>
      <c r="C31" s="24" t="inlineStr">
        <is>
          <t>Manager_D</t>
        </is>
      </c>
      <c r="D31" s="24" t="inlineStr">
        <is>
          <t>Finance</t>
        </is>
      </c>
      <c r="E31" s="25" t="n">
        <v>28257268</v>
      </c>
      <c r="F31" s="25" t="n">
        <v>2100238</v>
      </c>
      <c r="G31" s="25" t="n">
        <v>54242</v>
      </c>
      <c r="H31" s="26">
        <f>E31+F31-G31</f>
        <v/>
      </c>
      <c r="I31" s="27">
        <f>F31/E31</f>
        <v/>
      </c>
      <c r="J31" s="27">
        <f>G31/E31</f>
        <v/>
      </c>
      <c r="K31" s="24" t="inlineStr">
        <is>
          <t>2026-03</t>
        </is>
      </c>
    </row>
    <row r="32" ht="19" customHeight="1">
      <c r="A32" s="19" t="inlineStr">
        <is>
          <t>E031</t>
        </is>
      </c>
      <c r="B32" s="18" t="inlineStr">
        <is>
          <t>Employee_31</t>
        </is>
      </c>
      <c r="C32" s="19" t="inlineStr">
        <is>
          <t>Manager_A</t>
        </is>
      </c>
      <c r="D32" s="19" t="inlineStr">
        <is>
          <t>HR</t>
        </is>
      </c>
      <c r="E32" s="20" t="n">
        <v>27300479</v>
      </c>
      <c r="F32" s="20" t="n">
        <v>4925144</v>
      </c>
      <c r="G32" s="20" t="n">
        <v>1993943</v>
      </c>
      <c r="H32" s="21">
        <f>E32+F32-G32</f>
        <v/>
      </c>
      <c r="I32" s="22">
        <f>F32/E32</f>
        <v/>
      </c>
      <c r="J32" s="22">
        <f>G32/E32</f>
        <v/>
      </c>
      <c r="K32" s="19" t="inlineStr">
        <is>
          <t>2026-03</t>
        </is>
      </c>
    </row>
    <row r="33" ht="19" customHeight="1">
      <c r="A33" s="24" t="inlineStr">
        <is>
          <t>E032</t>
        </is>
      </c>
      <c r="B33" s="23" t="inlineStr">
        <is>
          <t>Employee_32</t>
        </is>
      </c>
      <c r="C33" s="24" t="inlineStr">
        <is>
          <t>Manager_A</t>
        </is>
      </c>
      <c r="D33" s="24" t="inlineStr">
        <is>
          <t>Finance</t>
        </is>
      </c>
      <c r="E33" s="25" t="n">
        <v>27335640</v>
      </c>
      <c r="F33" s="25" t="n">
        <v>337487</v>
      </c>
      <c r="G33" s="25" t="n">
        <v>1600355</v>
      </c>
      <c r="H33" s="26">
        <f>E33+F33-G33</f>
        <v/>
      </c>
      <c r="I33" s="27">
        <f>F33/E33</f>
        <v/>
      </c>
      <c r="J33" s="27">
        <f>G33/E33</f>
        <v/>
      </c>
      <c r="K33" s="24" t="inlineStr">
        <is>
          <t>2026-03</t>
        </is>
      </c>
    </row>
    <row r="34" ht="19" customHeight="1">
      <c r="A34" s="19" t="inlineStr">
        <is>
          <t>E033</t>
        </is>
      </c>
      <c r="B34" s="18" t="inlineStr">
        <is>
          <t>Employee_33</t>
        </is>
      </c>
      <c r="C34" s="19" t="inlineStr">
        <is>
          <t>Manager_B</t>
        </is>
      </c>
      <c r="D34" s="19" t="inlineStr">
        <is>
          <t>Operations</t>
        </is>
      </c>
      <c r="E34" s="20" t="n">
        <v>25413536</v>
      </c>
      <c r="F34" s="20" t="n">
        <v>3709689</v>
      </c>
      <c r="G34" s="20" t="n">
        <v>1921143</v>
      </c>
      <c r="H34" s="21">
        <f>E34+F34-G34</f>
        <v/>
      </c>
      <c r="I34" s="22">
        <f>F34/E34</f>
        <v/>
      </c>
      <c r="J34" s="22">
        <f>G34/E34</f>
        <v/>
      </c>
      <c r="K34" s="19" t="inlineStr">
        <is>
          <t>2026-03</t>
        </is>
      </c>
    </row>
    <row r="35" ht="19" customHeight="1">
      <c r="A35" s="24" t="inlineStr">
        <is>
          <t>E034</t>
        </is>
      </c>
      <c r="B35" s="23" t="inlineStr">
        <is>
          <t>Employee_34</t>
        </is>
      </c>
      <c r="C35" s="24" t="inlineStr">
        <is>
          <t>Manager_C</t>
        </is>
      </c>
      <c r="D35" s="24" t="inlineStr">
        <is>
          <t>HR</t>
        </is>
      </c>
      <c r="E35" s="25" t="n">
        <v>27640403</v>
      </c>
      <c r="F35" s="25" t="n">
        <v>3656468</v>
      </c>
      <c r="G35" s="25" t="n">
        <v>1331240</v>
      </c>
      <c r="H35" s="26">
        <f>E35+F35-G35</f>
        <v/>
      </c>
      <c r="I35" s="27">
        <f>F35/E35</f>
        <v/>
      </c>
      <c r="J35" s="27">
        <f>G35/E35</f>
        <v/>
      </c>
      <c r="K35" s="24" t="inlineStr">
        <is>
          <t>2026-03</t>
        </is>
      </c>
    </row>
    <row r="36" ht="19" customHeight="1">
      <c r="A36" s="19" t="inlineStr">
        <is>
          <t>E035</t>
        </is>
      </c>
      <c r="B36" s="18" t="inlineStr">
        <is>
          <t>Employee_35</t>
        </is>
      </c>
      <c r="C36" s="19" t="inlineStr">
        <is>
          <t>Manager_D</t>
        </is>
      </c>
      <c r="D36" s="19" t="inlineStr">
        <is>
          <t>Sales</t>
        </is>
      </c>
      <c r="E36" s="20" t="n">
        <v>23770931</v>
      </c>
      <c r="F36" s="20" t="n">
        <v>2918908</v>
      </c>
      <c r="G36" s="20" t="n">
        <v>856368</v>
      </c>
      <c r="H36" s="21">
        <f>E36+F36-G36</f>
        <v/>
      </c>
      <c r="I36" s="22">
        <f>F36/E36</f>
        <v/>
      </c>
      <c r="J36" s="22">
        <f>G36/E36</f>
        <v/>
      </c>
      <c r="K36" s="19" t="inlineStr">
        <is>
          <t>2026-03</t>
        </is>
      </c>
    </row>
    <row r="37" ht="19" customHeight="1">
      <c r="A37" s="24" t="inlineStr">
        <is>
          <t>E036</t>
        </is>
      </c>
      <c r="B37" s="23" t="inlineStr">
        <is>
          <t>Employee_36</t>
        </is>
      </c>
      <c r="C37" s="24" t="inlineStr">
        <is>
          <t>Manager_C</t>
        </is>
      </c>
      <c r="D37" s="24" t="inlineStr">
        <is>
          <t>Finance</t>
        </is>
      </c>
      <c r="E37" s="25" t="n">
        <v>11509789</v>
      </c>
      <c r="F37" s="25" t="n">
        <v>1349096</v>
      </c>
      <c r="G37" s="25" t="n">
        <v>691648</v>
      </c>
      <c r="H37" s="26">
        <f>E37+F37-G37</f>
        <v/>
      </c>
      <c r="I37" s="27">
        <f>F37/E37</f>
        <v/>
      </c>
      <c r="J37" s="27">
        <f>G37/E37</f>
        <v/>
      </c>
      <c r="K37" s="24" t="inlineStr">
        <is>
          <t>2026-03</t>
        </is>
      </c>
    </row>
    <row r="38" ht="19" customHeight="1">
      <c r="A38" s="19" t="inlineStr">
        <is>
          <t>E037</t>
        </is>
      </c>
      <c r="B38" s="18" t="inlineStr">
        <is>
          <t>Employee_37</t>
        </is>
      </c>
      <c r="C38" s="19" t="inlineStr">
        <is>
          <t>Manager_D</t>
        </is>
      </c>
      <c r="D38" s="19" t="inlineStr">
        <is>
          <t>Operations</t>
        </is>
      </c>
      <c r="E38" s="20" t="n">
        <v>17670984</v>
      </c>
      <c r="F38" s="20" t="n">
        <v>3359236</v>
      </c>
      <c r="G38" s="20" t="n">
        <v>1706171</v>
      </c>
      <c r="H38" s="21">
        <f>E38+F38-G38</f>
        <v/>
      </c>
      <c r="I38" s="22">
        <f>F38/E38</f>
        <v/>
      </c>
      <c r="J38" s="22">
        <f>G38/E38</f>
        <v/>
      </c>
      <c r="K38" s="19" t="inlineStr">
        <is>
          <t>2026-03</t>
        </is>
      </c>
    </row>
    <row r="39" ht="19" customHeight="1">
      <c r="A39" s="24" t="inlineStr">
        <is>
          <t>E038</t>
        </is>
      </c>
      <c r="B39" s="23" t="inlineStr">
        <is>
          <t>Employee_38</t>
        </is>
      </c>
      <c r="C39" s="24" t="inlineStr">
        <is>
          <t>Manager_A</t>
        </is>
      </c>
      <c r="D39" s="24" t="inlineStr">
        <is>
          <t>Operations</t>
        </is>
      </c>
      <c r="E39" s="25" t="n">
        <v>10954796</v>
      </c>
      <c r="F39" s="25" t="n">
        <v>2638361</v>
      </c>
      <c r="G39" s="25" t="n">
        <v>529318</v>
      </c>
      <c r="H39" s="26">
        <f>E39+F39-G39</f>
        <v/>
      </c>
      <c r="I39" s="27">
        <f>F39/E39</f>
        <v/>
      </c>
      <c r="J39" s="27">
        <f>G39/E39</f>
        <v/>
      </c>
      <c r="K39" s="24" t="inlineStr">
        <is>
          <t>2026-03</t>
        </is>
      </c>
    </row>
    <row r="40" ht="19" customHeight="1">
      <c r="A40" s="19" t="inlineStr">
        <is>
          <t>E039</t>
        </is>
      </c>
      <c r="B40" s="18" t="inlineStr">
        <is>
          <t>Employee_39</t>
        </is>
      </c>
      <c r="C40" s="19" t="inlineStr">
        <is>
          <t>Manager_C</t>
        </is>
      </c>
      <c r="D40" s="19" t="inlineStr">
        <is>
          <t>Sales</t>
        </is>
      </c>
      <c r="E40" s="20" t="n">
        <v>21561864</v>
      </c>
      <c r="F40" s="20" t="n">
        <v>4316746</v>
      </c>
      <c r="G40" s="20" t="n">
        <v>1729997</v>
      </c>
      <c r="H40" s="21">
        <f>E40+F40-G40</f>
        <v/>
      </c>
      <c r="I40" s="22">
        <f>F40/E40</f>
        <v/>
      </c>
      <c r="J40" s="22">
        <f>G40/E40</f>
        <v/>
      </c>
      <c r="K40" s="19" t="inlineStr">
        <is>
          <t>2026-03</t>
        </is>
      </c>
    </row>
    <row r="41" ht="19" customHeight="1">
      <c r="A41" s="24" t="inlineStr">
        <is>
          <t>E040</t>
        </is>
      </c>
      <c r="B41" s="23" t="inlineStr">
        <is>
          <t>Employee_40</t>
        </is>
      </c>
      <c r="C41" s="24" t="inlineStr">
        <is>
          <t>Manager_A</t>
        </is>
      </c>
      <c r="D41" s="24" t="inlineStr">
        <is>
          <t>Operations</t>
        </is>
      </c>
      <c r="E41" s="25" t="n">
        <v>21866287</v>
      </c>
      <c r="F41" s="25" t="n">
        <v>454696</v>
      </c>
      <c r="G41" s="25" t="n">
        <v>393389</v>
      </c>
      <c r="H41" s="26">
        <f>E41+F41-G41</f>
        <v/>
      </c>
      <c r="I41" s="27">
        <f>F41/E41</f>
        <v/>
      </c>
      <c r="J41" s="27">
        <f>G41/E41</f>
        <v/>
      </c>
      <c r="K41" s="24" t="inlineStr">
        <is>
          <t>2026-03</t>
        </is>
      </c>
    </row>
    <row r="42" ht="19" customHeight="1">
      <c r="A42" s="19" t="inlineStr">
        <is>
          <t>E041</t>
        </is>
      </c>
      <c r="B42" s="18" t="inlineStr">
        <is>
          <t>Employee_41</t>
        </is>
      </c>
      <c r="C42" s="19" t="inlineStr">
        <is>
          <t>Manager_C</t>
        </is>
      </c>
      <c r="D42" s="19" t="inlineStr">
        <is>
          <t>Operations</t>
        </is>
      </c>
      <c r="E42" s="20" t="n">
        <v>28985235</v>
      </c>
      <c r="F42" s="20" t="n">
        <v>3708108</v>
      </c>
      <c r="G42" s="20" t="n">
        <v>1593815</v>
      </c>
      <c r="H42" s="21">
        <f>E42+F42-G42</f>
        <v/>
      </c>
      <c r="I42" s="22">
        <f>F42/E42</f>
        <v/>
      </c>
      <c r="J42" s="22">
        <f>G42/E42</f>
        <v/>
      </c>
      <c r="K42" s="19" t="inlineStr">
        <is>
          <t>2026-03</t>
        </is>
      </c>
    </row>
    <row r="43" ht="19" customHeight="1">
      <c r="A43" s="24" t="inlineStr">
        <is>
          <t>E042</t>
        </is>
      </c>
      <c r="B43" s="23" t="inlineStr">
        <is>
          <t>Employee_42</t>
        </is>
      </c>
      <c r="C43" s="24" t="inlineStr">
        <is>
          <t>Manager_A</t>
        </is>
      </c>
      <c r="D43" s="24" t="inlineStr">
        <is>
          <t>HR</t>
        </is>
      </c>
      <c r="E43" s="25" t="n">
        <v>16960920</v>
      </c>
      <c r="F43" s="25" t="n">
        <v>4607188</v>
      </c>
      <c r="G43" s="25" t="n">
        <v>274754</v>
      </c>
      <c r="H43" s="26">
        <f>E43+F43-G43</f>
        <v/>
      </c>
      <c r="I43" s="27">
        <f>F43/E43</f>
        <v/>
      </c>
      <c r="J43" s="27">
        <f>G43/E43</f>
        <v/>
      </c>
      <c r="K43" s="24" t="inlineStr">
        <is>
          <t>2026-03</t>
        </is>
      </c>
    </row>
    <row r="44" ht="19" customHeight="1">
      <c r="A44" s="19" t="inlineStr">
        <is>
          <t>E043</t>
        </is>
      </c>
      <c r="B44" s="18" t="inlineStr">
        <is>
          <t>Employee_43</t>
        </is>
      </c>
      <c r="C44" s="19" t="inlineStr">
        <is>
          <t>Manager_C</t>
        </is>
      </c>
      <c r="D44" s="19" t="inlineStr">
        <is>
          <t>Operations</t>
        </is>
      </c>
      <c r="E44" s="20" t="n">
        <v>24264229</v>
      </c>
      <c r="F44" s="20" t="n">
        <v>1018595</v>
      </c>
      <c r="G44" s="20" t="n">
        <v>60543</v>
      </c>
      <c r="H44" s="21">
        <f>E44+F44-G44</f>
        <v/>
      </c>
      <c r="I44" s="22">
        <f>F44/E44</f>
        <v/>
      </c>
      <c r="J44" s="22">
        <f>G44/E44</f>
        <v/>
      </c>
      <c r="K44" s="19" t="inlineStr">
        <is>
          <t>2026-03</t>
        </is>
      </c>
    </row>
    <row r="45" ht="19" customHeight="1">
      <c r="A45" s="24" t="inlineStr">
        <is>
          <t>E044</t>
        </is>
      </c>
      <c r="B45" s="23" t="inlineStr">
        <is>
          <t>Employee_44</t>
        </is>
      </c>
      <c r="C45" s="24" t="inlineStr">
        <is>
          <t>Manager_B</t>
        </is>
      </c>
      <c r="D45" s="24" t="inlineStr">
        <is>
          <t>HR</t>
        </is>
      </c>
      <c r="E45" s="25" t="n">
        <v>18427044</v>
      </c>
      <c r="F45" s="25" t="n">
        <v>4620772</v>
      </c>
      <c r="G45" s="25" t="n">
        <v>28677</v>
      </c>
      <c r="H45" s="26">
        <f>E45+F45-G45</f>
        <v/>
      </c>
      <c r="I45" s="27">
        <f>F45/E45</f>
        <v/>
      </c>
      <c r="J45" s="27">
        <f>G45/E45</f>
        <v/>
      </c>
      <c r="K45" s="24" t="inlineStr">
        <is>
          <t>2026-03</t>
        </is>
      </c>
    </row>
    <row r="46" ht="19" customHeight="1">
      <c r="A46" s="19" t="inlineStr">
        <is>
          <t>E045</t>
        </is>
      </c>
      <c r="B46" s="18" t="inlineStr">
        <is>
          <t>Employee_45</t>
        </is>
      </c>
      <c r="C46" s="19" t="inlineStr">
        <is>
          <t>Manager_D</t>
        </is>
      </c>
      <c r="D46" s="19" t="inlineStr">
        <is>
          <t>Sales</t>
        </is>
      </c>
      <c r="E46" s="20" t="n">
        <v>15539702</v>
      </c>
      <c r="F46" s="20" t="n">
        <v>951780</v>
      </c>
      <c r="G46" s="20" t="n">
        <v>967726</v>
      </c>
      <c r="H46" s="21">
        <f>E46+F46-G46</f>
        <v/>
      </c>
      <c r="I46" s="22">
        <f>F46/E46</f>
        <v/>
      </c>
      <c r="J46" s="22">
        <f>G46/E46</f>
        <v/>
      </c>
      <c r="K46" s="19" t="inlineStr">
        <is>
          <t>2026-03</t>
        </is>
      </c>
    </row>
    <row r="47" ht="19" customHeight="1">
      <c r="A47" s="24" t="inlineStr">
        <is>
          <t>E046</t>
        </is>
      </c>
      <c r="B47" s="23" t="inlineStr">
        <is>
          <t>Employee_46</t>
        </is>
      </c>
      <c r="C47" s="24" t="inlineStr">
        <is>
          <t>Manager_A</t>
        </is>
      </c>
      <c r="D47" s="24" t="inlineStr">
        <is>
          <t>HR</t>
        </is>
      </c>
      <c r="E47" s="25" t="n">
        <v>24722706</v>
      </c>
      <c r="F47" s="25" t="n">
        <v>2448312</v>
      </c>
      <c r="G47" s="25" t="n">
        <v>1067181</v>
      </c>
      <c r="H47" s="26">
        <f>E47+F47-G47</f>
        <v/>
      </c>
      <c r="I47" s="27">
        <f>F47/E47</f>
        <v/>
      </c>
      <c r="J47" s="27">
        <f>G47/E47</f>
        <v/>
      </c>
      <c r="K47" s="24" t="inlineStr">
        <is>
          <t>2026-03</t>
        </is>
      </c>
    </row>
    <row r="48" ht="19" customHeight="1">
      <c r="A48" s="19" t="inlineStr">
        <is>
          <t>E047</t>
        </is>
      </c>
      <c r="B48" s="18" t="inlineStr">
        <is>
          <t>Employee_47</t>
        </is>
      </c>
      <c r="C48" s="19" t="inlineStr">
        <is>
          <t>Manager_C</t>
        </is>
      </c>
      <c r="D48" s="19" t="inlineStr">
        <is>
          <t>Operations</t>
        </is>
      </c>
      <c r="E48" s="20" t="n">
        <v>24189999</v>
      </c>
      <c r="F48" s="20" t="n">
        <v>3961266</v>
      </c>
      <c r="G48" s="20" t="n">
        <v>511140</v>
      </c>
      <c r="H48" s="21">
        <f>E48+F48-G48</f>
        <v/>
      </c>
      <c r="I48" s="22">
        <f>F48/E48</f>
        <v/>
      </c>
      <c r="J48" s="22">
        <f>G48/E48</f>
        <v/>
      </c>
      <c r="K48" s="19" t="inlineStr">
        <is>
          <t>2026-03</t>
        </is>
      </c>
    </row>
    <row r="49" ht="19" customHeight="1">
      <c r="A49" s="24" t="inlineStr">
        <is>
          <t>E048</t>
        </is>
      </c>
      <c r="B49" s="23" t="inlineStr">
        <is>
          <t>Employee_48</t>
        </is>
      </c>
      <c r="C49" s="24" t="inlineStr">
        <is>
          <t>Manager_D</t>
        </is>
      </c>
      <c r="D49" s="24" t="inlineStr">
        <is>
          <t>HR</t>
        </is>
      </c>
      <c r="E49" s="25" t="n">
        <v>20871010</v>
      </c>
      <c r="F49" s="25" t="n">
        <v>1598955</v>
      </c>
      <c r="G49" s="25" t="n">
        <v>1933297</v>
      </c>
      <c r="H49" s="26">
        <f>E49+F49-G49</f>
        <v/>
      </c>
      <c r="I49" s="27">
        <f>F49/E49</f>
        <v/>
      </c>
      <c r="J49" s="27">
        <f>G49/E49</f>
        <v/>
      </c>
      <c r="K49" s="24" t="inlineStr">
        <is>
          <t>2026-03</t>
        </is>
      </c>
    </row>
    <row r="50" ht="19" customHeight="1">
      <c r="A50" s="19" t="inlineStr">
        <is>
          <t>E049</t>
        </is>
      </c>
      <c r="B50" s="18" t="inlineStr">
        <is>
          <t>Employee_49</t>
        </is>
      </c>
      <c r="C50" s="19" t="inlineStr">
        <is>
          <t>Manager_B</t>
        </is>
      </c>
      <c r="D50" s="19" t="inlineStr">
        <is>
          <t>Sales</t>
        </is>
      </c>
      <c r="E50" s="20" t="n">
        <v>17269324</v>
      </c>
      <c r="F50" s="20" t="n">
        <v>3480789</v>
      </c>
      <c r="G50" s="20" t="n">
        <v>712770</v>
      </c>
      <c r="H50" s="21">
        <f>E50+F50-G50</f>
        <v/>
      </c>
      <c r="I50" s="22">
        <f>F50/E50</f>
        <v/>
      </c>
      <c r="J50" s="22">
        <f>G50/E50</f>
        <v/>
      </c>
      <c r="K50" s="19" t="inlineStr">
        <is>
          <t>2026-03</t>
        </is>
      </c>
    </row>
    <row r="51" ht="19" customHeight="1">
      <c r="A51" s="24" t="inlineStr">
        <is>
          <t>E050</t>
        </is>
      </c>
      <c r="B51" s="23" t="inlineStr">
        <is>
          <t>Employee_50</t>
        </is>
      </c>
      <c r="C51" s="24" t="inlineStr">
        <is>
          <t>Manager_C</t>
        </is>
      </c>
      <c r="D51" s="24" t="inlineStr">
        <is>
          <t>Sales</t>
        </is>
      </c>
      <c r="E51" s="25" t="n">
        <v>17490501</v>
      </c>
      <c r="F51" s="25" t="n">
        <v>2504467</v>
      </c>
      <c r="G51" s="25" t="n">
        <v>1756314</v>
      </c>
      <c r="H51" s="26">
        <f>E51+F51-G51</f>
        <v/>
      </c>
      <c r="I51" s="27">
        <f>F51/E51</f>
        <v/>
      </c>
      <c r="J51" s="27">
        <f>G51/E51</f>
        <v/>
      </c>
      <c r="K51" s="24" t="inlineStr">
        <is>
          <t>2026-03</t>
        </is>
      </c>
    </row>
    <row r="52" ht="19" customHeight="1">
      <c r="A52" s="19" t="inlineStr">
        <is>
          <t>E051</t>
        </is>
      </c>
      <c r="B52" s="18" t="inlineStr">
        <is>
          <t>Employee_51</t>
        </is>
      </c>
      <c r="C52" s="19" t="inlineStr">
        <is>
          <t>Manager_D</t>
        </is>
      </c>
      <c r="D52" s="19" t="inlineStr">
        <is>
          <t>HR</t>
        </is>
      </c>
      <c r="E52" s="20" t="n">
        <v>22983644</v>
      </c>
      <c r="F52" s="20" t="n">
        <v>4517941</v>
      </c>
      <c r="G52" s="20" t="n">
        <v>1015737</v>
      </c>
      <c r="H52" s="21">
        <f>E52+F52-G52</f>
        <v/>
      </c>
      <c r="I52" s="22">
        <f>F52/E52</f>
        <v/>
      </c>
      <c r="J52" s="22">
        <f>G52/E52</f>
        <v/>
      </c>
      <c r="K52" s="19" t="inlineStr">
        <is>
          <t>2026-03</t>
        </is>
      </c>
    </row>
    <row r="53" ht="19" customHeight="1">
      <c r="A53" s="24" t="inlineStr">
        <is>
          <t>E052</t>
        </is>
      </c>
      <c r="B53" s="23" t="inlineStr">
        <is>
          <t>Employee_52</t>
        </is>
      </c>
      <c r="C53" s="24" t="inlineStr">
        <is>
          <t>Manager_C</t>
        </is>
      </c>
      <c r="D53" s="24" t="inlineStr">
        <is>
          <t>Finance</t>
        </is>
      </c>
      <c r="E53" s="25" t="n">
        <v>26519275</v>
      </c>
      <c r="F53" s="25" t="n">
        <v>4558621</v>
      </c>
      <c r="G53" s="25" t="n">
        <v>791066</v>
      </c>
      <c r="H53" s="26">
        <f>E53+F53-G53</f>
        <v/>
      </c>
      <c r="I53" s="27">
        <f>F53/E53</f>
        <v/>
      </c>
      <c r="J53" s="27">
        <f>G53/E53</f>
        <v/>
      </c>
      <c r="K53" s="24" t="inlineStr">
        <is>
          <t>2026-03</t>
        </is>
      </c>
    </row>
    <row r="54" ht="19" customHeight="1">
      <c r="A54" s="19" t="inlineStr">
        <is>
          <t>E053</t>
        </is>
      </c>
      <c r="B54" s="18" t="inlineStr">
        <is>
          <t>Employee_53</t>
        </is>
      </c>
      <c r="C54" s="19" t="inlineStr">
        <is>
          <t>Manager_D</t>
        </is>
      </c>
      <c r="D54" s="19" t="inlineStr">
        <is>
          <t>Finance</t>
        </is>
      </c>
      <c r="E54" s="20" t="n">
        <v>14330123</v>
      </c>
      <c r="F54" s="20" t="n">
        <v>2003246</v>
      </c>
      <c r="G54" s="20" t="n">
        <v>1199146</v>
      </c>
      <c r="H54" s="21">
        <f>E54+F54-G54</f>
        <v/>
      </c>
      <c r="I54" s="22">
        <f>F54/E54</f>
        <v/>
      </c>
      <c r="J54" s="22">
        <f>G54/E54</f>
        <v/>
      </c>
      <c r="K54" s="19" t="inlineStr">
        <is>
          <t>2026-03</t>
        </is>
      </c>
    </row>
    <row r="55" ht="19" customHeight="1">
      <c r="A55" s="24" t="inlineStr">
        <is>
          <t>E054</t>
        </is>
      </c>
      <c r="B55" s="23" t="inlineStr">
        <is>
          <t>Employee_54</t>
        </is>
      </c>
      <c r="C55" s="24" t="inlineStr">
        <is>
          <t>Manager_D</t>
        </is>
      </c>
      <c r="D55" s="24" t="inlineStr">
        <is>
          <t>HR</t>
        </is>
      </c>
      <c r="E55" s="25" t="n">
        <v>21783325</v>
      </c>
      <c r="F55" s="25" t="n">
        <v>366140</v>
      </c>
      <c r="G55" s="25" t="n">
        <v>667264</v>
      </c>
      <c r="H55" s="26">
        <f>E55+F55-G55</f>
        <v/>
      </c>
      <c r="I55" s="27">
        <f>F55/E55</f>
        <v/>
      </c>
      <c r="J55" s="27">
        <f>G55/E55</f>
        <v/>
      </c>
      <c r="K55" s="24" t="inlineStr">
        <is>
          <t>2026-03</t>
        </is>
      </c>
    </row>
    <row r="56" ht="19" customHeight="1">
      <c r="A56" s="19" t="inlineStr">
        <is>
          <t>E055</t>
        </is>
      </c>
      <c r="B56" s="18" t="inlineStr">
        <is>
          <t>Employee_55</t>
        </is>
      </c>
      <c r="C56" s="19" t="inlineStr">
        <is>
          <t>Manager_D</t>
        </is>
      </c>
      <c r="D56" s="19" t="inlineStr">
        <is>
          <t>Operations</t>
        </is>
      </c>
      <c r="E56" s="20" t="n">
        <v>20954653</v>
      </c>
      <c r="F56" s="20" t="n">
        <v>1275951</v>
      </c>
      <c r="G56" s="20" t="n">
        <v>1038779</v>
      </c>
      <c r="H56" s="21">
        <f>E56+F56-G56</f>
        <v/>
      </c>
      <c r="I56" s="22">
        <f>F56/E56</f>
        <v/>
      </c>
      <c r="J56" s="22">
        <f>G56/E56</f>
        <v/>
      </c>
      <c r="K56" s="19" t="inlineStr">
        <is>
          <t>2026-03</t>
        </is>
      </c>
    </row>
    <row r="57" ht="19" customHeight="1">
      <c r="A57" s="24" t="inlineStr">
        <is>
          <t>E056</t>
        </is>
      </c>
      <c r="B57" s="23" t="inlineStr">
        <is>
          <t>Employee_56</t>
        </is>
      </c>
      <c r="C57" s="24" t="inlineStr">
        <is>
          <t>Manager_A</t>
        </is>
      </c>
      <c r="D57" s="24" t="inlineStr">
        <is>
          <t>HR</t>
        </is>
      </c>
      <c r="E57" s="25" t="n">
        <v>24854094</v>
      </c>
      <c r="F57" s="25" t="n">
        <v>4950792</v>
      </c>
      <c r="G57" s="25" t="n">
        <v>696243</v>
      </c>
      <c r="H57" s="26">
        <f>E57+F57-G57</f>
        <v/>
      </c>
      <c r="I57" s="27">
        <f>F57/E57</f>
        <v/>
      </c>
      <c r="J57" s="27">
        <f>G57/E57</f>
        <v/>
      </c>
      <c r="K57" s="24" t="inlineStr">
        <is>
          <t>2026-03</t>
        </is>
      </c>
    </row>
    <row r="58" ht="19" customHeight="1">
      <c r="A58" s="19" t="inlineStr">
        <is>
          <t>E057</t>
        </is>
      </c>
      <c r="B58" s="18" t="inlineStr">
        <is>
          <t>Employee_57</t>
        </is>
      </c>
      <c r="C58" s="19" t="inlineStr">
        <is>
          <t>Manager_A</t>
        </is>
      </c>
      <c r="D58" s="19" t="inlineStr">
        <is>
          <t>Operations</t>
        </is>
      </c>
      <c r="E58" s="20" t="n">
        <v>11345769</v>
      </c>
      <c r="F58" s="20" t="n">
        <v>4411997</v>
      </c>
      <c r="G58" s="20" t="n">
        <v>1909334</v>
      </c>
      <c r="H58" s="21">
        <f>E58+F58-G58</f>
        <v/>
      </c>
      <c r="I58" s="22">
        <f>F58/E58</f>
        <v/>
      </c>
      <c r="J58" s="22">
        <f>G58/E58</f>
        <v/>
      </c>
      <c r="K58" s="19" t="inlineStr">
        <is>
          <t>2026-03</t>
        </is>
      </c>
    </row>
    <row r="59" ht="19" customHeight="1">
      <c r="A59" s="24" t="inlineStr">
        <is>
          <t>E058</t>
        </is>
      </c>
      <c r="B59" s="23" t="inlineStr">
        <is>
          <t>Employee_58</t>
        </is>
      </c>
      <c r="C59" s="24" t="inlineStr">
        <is>
          <t>Manager_D</t>
        </is>
      </c>
      <c r="D59" s="24" t="inlineStr">
        <is>
          <t>Sales</t>
        </is>
      </c>
      <c r="E59" s="25" t="n">
        <v>12837053</v>
      </c>
      <c r="F59" s="25" t="n">
        <v>3439149</v>
      </c>
      <c r="G59" s="25" t="n">
        <v>1826478</v>
      </c>
      <c r="H59" s="26">
        <f>E59+F59-G59</f>
        <v/>
      </c>
      <c r="I59" s="27">
        <f>F59/E59</f>
        <v/>
      </c>
      <c r="J59" s="27">
        <f>G59/E59</f>
        <v/>
      </c>
      <c r="K59" s="24" t="inlineStr">
        <is>
          <t>2026-03</t>
        </is>
      </c>
    </row>
    <row r="60" ht="19" customHeight="1">
      <c r="A60" s="19" t="inlineStr">
        <is>
          <t>E059</t>
        </is>
      </c>
      <c r="B60" s="18" t="inlineStr">
        <is>
          <t>Employee_59</t>
        </is>
      </c>
      <c r="C60" s="19" t="inlineStr">
        <is>
          <t>Manager_B</t>
        </is>
      </c>
      <c r="D60" s="19" t="inlineStr">
        <is>
          <t>Sales</t>
        </is>
      </c>
      <c r="E60" s="20" t="n">
        <v>23753490</v>
      </c>
      <c r="F60" s="20" t="n">
        <v>2223172</v>
      </c>
      <c r="G60" s="20" t="n">
        <v>710014</v>
      </c>
      <c r="H60" s="21">
        <f>E60+F60-G60</f>
        <v/>
      </c>
      <c r="I60" s="22">
        <f>F60/E60</f>
        <v/>
      </c>
      <c r="J60" s="22">
        <f>G60/E60</f>
        <v/>
      </c>
      <c r="K60" s="19" t="inlineStr">
        <is>
          <t>2026-03</t>
        </is>
      </c>
    </row>
    <row r="61" ht="19" customHeight="1">
      <c r="A61" s="24" t="inlineStr">
        <is>
          <t>E060</t>
        </is>
      </c>
      <c r="B61" s="23" t="inlineStr">
        <is>
          <t>Employee_60</t>
        </is>
      </c>
      <c r="C61" s="24" t="inlineStr">
        <is>
          <t>Manager_D</t>
        </is>
      </c>
      <c r="D61" s="24" t="inlineStr">
        <is>
          <t>Sales</t>
        </is>
      </c>
      <c r="E61" s="25" t="n">
        <v>19024831</v>
      </c>
      <c r="F61" s="25" t="n">
        <v>4476348</v>
      </c>
      <c r="G61" s="25" t="n">
        <v>796937</v>
      </c>
      <c r="H61" s="26">
        <f>E61+F61-G61</f>
        <v/>
      </c>
      <c r="I61" s="27">
        <f>F61/E61</f>
        <v/>
      </c>
      <c r="J61" s="27">
        <f>G61/E61</f>
        <v/>
      </c>
      <c r="K61" s="24" t="inlineStr">
        <is>
          <t>2026-03</t>
        </is>
      </c>
    </row>
    <row r="62" ht="19" customHeight="1">
      <c r="A62" s="19" t="inlineStr">
        <is>
          <t>E061</t>
        </is>
      </c>
      <c r="B62" s="18" t="inlineStr">
        <is>
          <t>Employee_61</t>
        </is>
      </c>
      <c r="C62" s="19" t="inlineStr">
        <is>
          <t>Manager_C</t>
        </is>
      </c>
      <c r="D62" s="19" t="inlineStr">
        <is>
          <t>Operations</t>
        </is>
      </c>
      <c r="E62" s="20" t="n">
        <v>26153485</v>
      </c>
      <c r="F62" s="20" t="n">
        <v>301143</v>
      </c>
      <c r="G62" s="20" t="n">
        <v>1294906</v>
      </c>
      <c r="H62" s="21">
        <f>E62+F62-G62</f>
        <v/>
      </c>
      <c r="I62" s="22">
        <f>F62/E62</f>
        <v/>
      </c>
      <c r="J62" s="22">
        <f>G62/E62</f>
        <v/>
      </c>
      <c r="K62" s="19" t="inlineStr">
        <is>
          <t>2026-03</t>
        </is>
      </c>
    </row>
    <row r="63" ht="19" customHeight="1">
      <c r="A63" s="24" t="inlineStr">
        <is>
          <t>E062</t>
        </is>
      </c>
      <c r="B63" s="23" t="inlineStr">
        <is>
          <t>Employee_62</t>
        </is>
      </c>
      <c r="C63" s="24" t="inlineStr">
        <is>
          <t>Manager_A</t>
        </is>
      </c>
      <c r="D63" s="24" t="inlineStr">
        <is>
          <t>HR</t>
        </is>
      </c>
      <c r="E63" s="25" t="n">
        <v>29178249</v>
      </c>
      <c r="F63" s="25" t="n">
        <v>2410709</v>
      </c>
      <c r="G63" s="25" t="n">
        <v>477073</v>
      </c>
      <c r="H63" s="26">
        <f>E63+F63-G63</f>
        <v/>
      </c>
      <c r="I63" s="27">
        <f>F63/E63</f>
        <v/>
      </c>
      <c r="J63" s="27">
        <f>G63/E63</f>
        <v/>
      </c>
      <c r="K63" s="24" t="inlineStr">
        <is>
          <t>2026-03</t>
        </is>
      </c>
    </row>
    <row r="64" ht="19" customHeight="1">
      <c r="A64" s="19" t="inlineStr">
        <is>
          <t>E063</t>
        </is>
      </c>
      <c r="B64" s="18" t="inlineStr">
        <is>
          <t>Employee_63</t>
        </is>
      </c>
      <c r="C64" s="19" t="inlineStr">
        <is>
          <t>Manager_A</t>
        </is>
      </c>
      <c r="D64" s="19" t="inlineStr">
        <is>
          <t>Operations</t>
        </is>
      </c>
      <c r="E64" s="20" t="n">
        <v>11303203</v>
      </c>
      <c r="F64" s="20" t="n">
        <v>843115</v>
      </c>
      <c r="G64" s="20" t="n">
        <v>930461</v>
      </c>
      <c r="H64" s="21">
        <f>E64+F64-G64</f>
        <v/>
      </c>
      <c r="I64" s="22">
        <f>F64/E64</f>
        <v/>
      </c>
      <c r="J64" s="22">
        <f>G64/E64</f>
        <v/>
      </c>
      <c r="K64" s="19" t="inlineStr">
        <is>
          <t>2026-03</t>
        </is>
      </c>
    </row>
    <row r="65" ht="19" customHeight="1">
      <c r="A65" s="24" t="inlineStr">
        <is>
          <t>E064</t>
        </is>
      </c>
      <c r="B65" s="23" t="inlineStr">
        <is>
          <t>Employee_64</t>
        </is>
      </c>
      <c r="C65" s="24" t="inlineStr">
        <is>
          <t>Manager_B</t>
        </is>
      </c>
      <c r="D65" s="24" t="inlineStr">
        <is>
          <t>Finance</t>
        </is>
      </c>
      <c r="E65" s="25" t="n">
        <v>8971308</v>
      </c>
      <c r="F65" s="25" t="n">
        <v>385800</v>
      </c>
      <c r="G65" s="25" t="n">
        <v>680262</v>
      </c>
      <c r="H65" s="26">
        <f>E65+F65-G65</f>
        <v/>
      </c>
      <c r="I65" s="27">
        <f>F65/E65</f>
        <v/>
      </c>
      <c r="J65" s="27">
        <f>G65/E65</f>
        <v/>
      </c>
      <c r="K65" s="24" t="inlineStr">
        <is>
          <t>2026-03</t>
        </is>
      </c>
    </row>
    <row r="66" ht="19" customHeight="1">
      <c r="A66" s="19" t="inlineStr">
        <is>
          <t>E065</t>
        </is>
      </c>
      <c r="B66" s="18" t="inlineStr">
        <is>
          <t>Employee_65</t>
        </is>
      </c>
      <c r="C66" s="19" t="inlineStr">
        <is>
          <t>Manager_A</t>
        </is>
      </c>
      <c r="D66" s="19" t="inlineStr">
        <is>
          <t>Finance</t>
        </is>
      </c>
      <c r="E66" s="20" t="n">
        <v>20028033</v>
      </c>
      <c r="F66" s="20" t="n">
        <v>3144394</v>
      </c>
      <c r="G66" s="20" t="n">
        <v>903215</v>
      </c>
      <c r="H66" s="21">
        <f>E66+F66-G66</f>
        <v/>
      </c>
      <c r="I66" s="22">
        <f>F66/E66</f>
        <v/>
      </c>
      <c r="J66" s="22">
        <f>G66/E66</f>
        <v/>
      </c>
      <c r="K66" s="19" t="inlineStr">
        <is>
          <t>2026-03</t>
        </is>
      </c>
    </row>
    <row r="67" ht="19" customHeight="1">
      <c r="A67" s="24" t="inlineStr">
        <is>
          <t>E066</t>
        </is>
      </c>
      <c r="B67" s="23" t="inlineStr">
        <is>
          <t>Employee_66</t>
        </is>
      </c>
      <c r="C67" s="24" t="inlineStr">
        <is>
          <t>Manager_B</t>
        </is>
      </c>
      <c r="D67" s="24" t="inlineStr">
        <is>
          <t>HR</t>
        </is>
      </c>
      <c r="E67" s="25" t="n">
        <v>25822984</v>
      </c>
      <c r="F67" s="25" t="n">
        <v>3456540</v>
      </c>
      <c r="G67" s="25" t="n">
        <v>1186837</v>
      </c>
      <c r="H67" s="26">
        <f>E67+F67-G67</f>
        <v/>
      </c>
      <c r="I67" s="27">
        <f>F67/E67</f>
        <v/>
      </c>
      <c r="J67" s="27">
        <f>G67/E67</f>
        <v/>
      </c>
      <c r="K67" s="24" t="inlineStr">
        <is>
          <t>2026-03</t>
        </is>
      </c>
    </row>
    <row r="68" ht="19" customHeight="1">
      <c r="A68" s="19" t="inlineStr">
        <is>
          <t>E067</t>
        </is>
      </c>
      <c r="B68" s="18" t="inlineStr">
        <is>
          <t>Employee_67</t>
        </is>
      </c>
      <c r="C68" s="19" t="inlineStr">
        <is>
          <t>Manager_B</t>
        </is>
      </c>
      <c r="D68" s="19" t="inlineStr">
        <is>
          <t>HR</t>
        </is>
      </c>
      <c r="E68" s="20" t="n">
        <v>13874352</v>
      </c>
      <c r="F68" s="20" t="n">
        <v>662434</v>
      </c>
      <c r="G68" s="20" t="n">
        <v>1278196</v>
      </c>
      <c r="H68" s="21">
        <f>E68+F68-G68</f>
        <v/>
      </c>
      <c r="I68" s="22">
        <f>F68/E68</f>
        <v/>
      </c>
      <c r="J68" s="22">
        <f>G68/E68</f>
        <v/>
      </c>
      <c r="K68" s="19" t="inlineStr">
        <is>
          <t>2026-03</t>
        </is>
      </c>
    </row>
    <row r="69" ht="19" customHeight="1">
      <c r="A69" s="24" t="inlineStr">
        <is>
          <t>E068</t>
        </is>
      </c>
      <c r="B69" s="23" t="inlineStr">
        <is>
          <t>Employee_68</t>
        </is>
      </c>
      <c r="C69" s="24" t="inlineStr">
        <is>
          <t>Manager_D</t>
        </is>
      </c>
      <c r="D69" s="24" t="inlineStr">
        <is>
          <t>HR</t>
        </is>
      </c>
      <c r="E69" s="25" t="n">
        <v>24698941</v>
      </c>
      <c r="F69" s="25" t="n">
        <v>4891876</v>
      </c>
      <c r="G69" s="25" t="n">
        <v>300139</v>
      </c>
      <c r="H69" s="26">
        <f>E69+F69-G69</f>
        <v/>
      </c>
      <c r="I69" s="27">
        <f>F69/E69</f>
        <v/>
      </c>
      <c r="J69" s="27">
        <f>G69/E69</f>
        <v/>
      </c>
      <c r="K69" s="24" t="inlineStr">
        <is>
          <t>2026-03</t>
        </is>
      </c>
    </row>
    <row r="70" ht="19" customHeight="1">
      <c r="A70" s="19" t="inlineStr">
        <is>
          <t>E069</t>
        </is>
      </c>
      <c r="B70" s="18" t="inlineStr">
        <is>
          <t>Employee_69</t>
        </is>
      </c>
      <c r="C70" s="19" t="inlineStr">
        <is>
          <t>Manager_B</t>
        </is>
      </c>
      <c r="D70" s="19" t="inlineStr">
        <is>
          <t>Operations</t>
        </is>
      </c>
      <c r="E70" s="20" t="n">
        <v>29404527</v>
      </c>
      <c r="F70" s="20" t="n">
        <v>2130516</v>
      </c>
      <c r="G70" s="20" t="n">
        <v>963789</v>
      </c>
      <c r="H70" s="21">
        <f>E70+F70-G70</f>
        <v/>
      </c>
      <c r="I70" s="22">
        <f>F70/E70</f>
        <v/>
      </c>
      <c r="J70" s="22">
        <f>G70/E70</f>
        <v/>
      </c>
      <c r="K70" s="19" t="inlineStr">
        <is>
          <t>2026-03</t>
        </is>
      </c>
    </row>
    <row r="71" ht="19" customHeight="1">
      <c r="A71" s="24" t="inlineStr">
        <is>
          <t>E070</t>
        </is>
      </c>
      <c r="B71" s="23" t="inlineStr">
        <is>
          <t>Employee_70</t>
        </is>
      </c>
      <c r="C71" s="24" t="inlineStr">
        <is>
          <t>Manager_C</t>
        </is>
      </c>
      <c r="D71" s="24" t="inlineStr">
        <is>
          <t>Sales</t>
        </is>
      </c>
      <c r="E71" s="25" t="n">
        <v>23611308</v>
      </c>
      <c r="F71" s="25" t="n">
        <v>2412829</v>
      </c>
      <c r="G71" s="25" t="n">
        <v>1421053</v>
      </c>
      <c r="H71" s="26">
        <f>E71+F71-G71</f>
        <v/>
      </c>
      <c r="I71" s="27">
        <f>F71/E71</f>
        <v/>
      </c>
      <c r="J71" s="27">
        <f>G71/E71</f>
        <v/>
      </c>
      <c r="K71" s="24" t="inlineStr">
        <is>
          <t>2026-03</t>
        </is>
      </c>
    </row>
    <row r="72" ht="19" customHeight="1">
      <c r="A72" s="19" t="inlineStr">
        <is>
          <t>E071</t>
        </is>
      </c>
      <c r="B72" s="18" t="inlineStr">
        <is>
          <t>Employee_71</t>
        </is>
      </c>
      <c r="C72" s="19" t="inlineStr">
        <is>
          <t>Manager_B</t>
        </is>
      </c>
      <c r="D72" s="19" t="inlineStr">
        <is>
          <t>Sales</t>
        </is>
      </c>
      <c r="E72" s="20" t="n">
        <v>22821991</v>
      </c>
      <c r="F72" s="20" t="n">
        <v>2898814</v>
      </c>
      <c r="G72" s="20" t="n">
        <v>1232227</v>
      </c>
      <c r="H72" s="21">
        <f>E72+F72-G72</f>
        <v/>
      </c>
      <c r="I72" s="22">
        <f>F72/E72</f>
        <v/>
      </c>
      <c r="J72" s="22">
        <f>G72/E72</f>
        <v/>
      </c>
      <c r="K72" s="19" t="inlineStr">
        <is>
          <t>2026-03</t>
        </is>
      </c>
    </row>
    <row r="73" ht="19" customHeight="1">
      <c r="A73" s="24" t="inlineStr">
        <is>
          <t>E072</t>
        </is>
      </c>
      <c r="B73" s="23" t="inlineStr">
        <is>
          <t>Employee_72</t>
        </is>
      </c>
      <c r="C73" s="24" t="inlineStr">
        <is>
          <t>Manager_C</t>
        </is>
      </c>
      <c r="D73" s="24" t="inlineStr">
        <is>
          <t>Operations</t>
        </is>
      </c>
      <c r="E73" s="25" t="n">
        <v>16391903</v>
      </c>
      <c r="F73" s="25" t="n">
        <v>3832216</v>
      </c>
      <c r="G73" s="25" t="n">
        <v>1772730</v>
      </c>
      <c r="H73" s="26">
        <f>E73+F73-G73</f>
        <v/>
      </c>
      <c r="I73" s="27">
        <f>F73/E73</f>
        <v/>
      </c>
      <c r="J73" s="27">
        <f>G73/E73</f>
        <v/>
      </c>
      <c r="K73" s="24" t="inlineStr">
        <is>
          <t>2026-03</t>
        </is>
      </c>
    </row>
    <row r="74" ht="19" customHeight="1">
      <c r="A74" s="19" t="inlineStr">
        <is>
          <t>E073</t>
        </is>
      </c>
      <c r="B74" s="18" t="inlineStr">
        <is>
          <t>Employee_73</t>
        </is>
      </c>
      <c r="C74" s="19" t="inlineStr">
        <is>
          <t>Manager_C</t>
        </is>
      </c>
      <c r="D74" s="19" t="inlineStr">
        <is>
          <t>HR</t>
        </is>
      </c>
      <c r="E74" s="20" t="n">
        <v>20908163</v>
      </c>
      <c r="F74" s="20" t="n">
        <v>4053443</v>
      </c>
      <c r="G74" s="20" t="n">
        <v>223668</v>
      </c>
      <c r="H74" s="21">
        <f>E74+F74-G74</f>
        <v/>
      </c>
      <c r="I74" s="22">
        <f>F74/E74</f>
        <v/>
      </c>
      <c r="J74" s="22">
        <f>G74/E74</f>
        <v/>
      </c>
      <c r="K74" s="19" t="inlineStr">
        <is>
          <t>2026-03</t>
        </is>
      </c>
    </row>
    <row r="75" ht="19" customHeight="1">
      <c r="A75" s="24" t="inlineStr">
        <is>
          <t>E074</t>
        </is>
      </c>
      <c r="B75" s="23" t="inlineStr">
        <is>
          <t>Employee_74</t>
        </is>
      </c>
      <c r="C75" s="24" t="inlineStr">
        <is>
          <t>Manager_B</t>
        </is>
      </c>
      <c r="D75" s="24" t="inlineStr">
        <is>
          <t>Operations</t>
        </is>
      </c>
      <c r="E75" s="25" t="n">
        <v>27190541</v>
      </c>
      <c r="F75" s="25" t="n">
        <v>3011167</v>
      </c>
      <c r="G75" s="25" t="n">
        <v>1205467</v>
      </c>
      <c r="H75" s="26">
        <f>E75+F75-G75</f>
        <v/>
      </c>
      <c r="I75" s="27">
        <f>F75/E75</f>
        <v/>
      </c>
      <c r="J75" s="27">
        <f>G75/E75</f>
        <v/>
      </c>
      <c r="K75" s="24" t="inlineStr">
        <is>
          <t>2026-03</t>
        </is>
      </c>
    </row>
    <row r="76" ht="19" customHeight="1">
      <c r="A76" s="19" t="inlineStr">
        <is>
          <t>E075</t>
        </is>
      </c>
      <c r="B76" s="18" t="inlineStr">
        <is>
          <t>Employee_75</t>
        </is>
      </c>
      <c r="C76" s="19" t="inlineStr">
        <is>
          <t>Manager_C</t>
        </is>
      </c>
      <c r="D76" s="19" t="inlineStr">
        <is>
          <t>Finance</t>
        </is>
      </c>
      <c r="E76" s="20" t="n">
        <v>8736170</v>
      </c>
      <c r="F76" s="20" t="n">
        <v>3320259</v>
      </c>
      <c r="G76" s="20" t="n">
        <v>575627</v>
      </c>
      <c r="H76" s="21">
        <f>E76+F76-G76</f>
        <v/>
      </c>
      <c r="I76" s="22">
        <f>F76/E76</f>
        <v/>
      </c>
      <c r="J76" s="22">
        <f>G76/E76</f>
        <v/>
      </c>
      <c r="K76" s="19" t="inlineStr">
        <is>
          <t>2026-03</t>
        </is>
      </c>
    </row>
    <row r="77" ht="19" customHeight="1">
      <c r="A77" s="24" t="inlineStr">
        <is>
          <t>E076</t>
        </is>
      </c>
      <c r="B77" s="23" t="inlineStr">
        <is>
          <t>Employee_76</t>
        </is>
      </c>
      <c r="C77" s="24" t="inlineStr">
        <is>
          <t>Manager_A</t>
        </is>
      </c>
      <c r="D77" s="24" t="inlineStr">
        <is>
          <t>Sales</t>
        </is>
      </c>
      <c r="E77" s="25" t="n">
        <v>28347625</v>
      </c>
      <c r="F77" s="25" t="n">
        <v>4166850</v>
      </c>
      <c r="G77" s="25" t="n">
        <v>1746589</v>
      </c>
      <c r="H77" s="26">
        <f>E77+F77-G77</f>
        <v/>
      </c>
      <c r="I77" s="27">
        <f>F77/E77</f>
        <v/>
      </c>
      <c r="J77" s="27">
        <f>G77/E77</f>
        <v/>
      </c>
      <c r="K77" s="24" t="inlineStr">
        <is>
          <t>2026-03</t>
        </is>
      </c>
    </row>
    <row r="78" ht="19" customHeight="1">
      <c r="A78" s="19" t="inlineStr">
        <is>
          <t>E077</t>
        </is>
      </c>
      <c r="B78" s="18" t="inlineStr">
        <is>
          <t>Employee_77</t>
        </is>
      </c>
      <c r="C78" s="19" t="inlineStr">
        <is>
          <t>Manager_C</t>
        </is>
      </c>
      <c r="D78" s="19" t="inlineStr">
        <is>
          <t>HR</t>
        </is>
      </c>
      <c r="E78" s="20" t="n">
        <v>28369721</v>
      </c>
      <c r="F78" s="20" t="n">
        <v>2955482</v>
      </c>
      <c r="G78" s="20" t="n">
        <v>459285</v>
      </c>
      <c r="H78" s="21">
        <f>E78+F78-G78</f>
        <v/>
      </c>
      <c r="I78" s="22">
        <f>F78/E78</f>
        <v/>
      </c>
      <c r="J78" s="22">
        <f>G78/E78</f>
        <v/>
      </c>
      <c r="K78" s="19" t="inlineStr">
        <is>
          <t>2026-03</t>
        </is>
      </c>
    </row>
    <row r="79" ht="19" customHeight="1">
      <c r="A79" s="24" t="inlineStr">
        <is>
          <t>E078</t>
        </is>
      </c>
      <c r="B79" s="23" t="inlineStr">
        <is>
          <t>Employee_78</t>
        </is>
      </c>
      <c r="C79" s="24" t="inlineStr">
        <is>
          <t>Manager_B</t>
        </is>
      </c>
      <c r="D79" s="24" t="inlineStr">
        <is>
          <t>Finance</t>
        </is>
      </c>
      <c r="E79" s="25" t="n">
        <v>12589549</v>
      </c>
      <c r="F79" s="25" t="n">
        <v>815070</v>
      </c>
      <c r="G79" s="25" t="n">
        <v>1894574</v>
      </c>
      <c r="H79" s="26">
        <f>E79+F79-G79</f>
        <v/>
      </c>
      <c r="I79" s="27">
        <f>F79/E79</f>
        <v/>
      </c>
      <c r="J79" s="27">
        <f>G79/E79</f>
        <v/>
      </c>
      <c r="K79" s="24" t="inlineStr">
        <is>
          <t>2026-03</t>
        </is>
      </c>
    </row>
    <row r="80" ht="19" customHeight="1">
      <c r="A80" s="19" t="inlineStr">
        <is>
          <t>E079</t>
        </is>
      </c>
      <c r="B80" s="18" t="inlineStr">
        <is>
          <t>Employee_79</t>
        </is>
      </c>
      <c r="C80" s="19" t="inlineStr">
        <is>
          <t>Manager_A</t>
        </is>
      </c>
      <c r="D80" s="19" t="inlineStr">
        <is>
          <t>Finance</t>
        </is>
      </c>
      <c r="E80" s="20" t="n">
        <v>22791571</v>
      </c>
      <c r="F80" s="20" t="n">
        <v>279881</v>
      </c>
      <c r="G80" s="20" t="n">
        <v>1215454</v>
      </c>
      <c r="H80" s="21">
        <f>E80+F80-G80</f>
        <v/>
      </c>
      <c r="I80" s="22">
        <f>F80/E80</f>
        <v/>
      </c>
      <c r="J80" s="22">
        <f>G80/E80</f>
        <v/>
      </c>
      <c r="K80" s="19" t="inlineStr">
        <is>
          <t>2026-03</t>
        </is>
      </c>
    </row>
    <row r="81" ht="19" customHeight="1">
      <c r="A81" s="24" t="inlineStr">
        <is>
          <t>E080</t>
        </is>
      </c>
      <c r="B81" s="23" t="inlineStr">
        <is>
          <t>Employee_80</t>
        </is>
      </c>
      <c r="C81" s="24" t="inlineStr">
        <is>
          <t>Manager_C</t>
        </is>
      </c>
      <c r="D81" s="24" t="inlineStr">
        <is>
          <t>HR</t>
        </is>
      </c>
      <c r="E81" s="25" t="n">
        <v>11024374</v>
      </c>
      <c r="F81" s="25" t="n">
        <v>2475565</v>
      </c>
      <c r="G81" s="25" t="n">
        <v>685179</v>
      </c>
      <c r="H81" s="26">
        <f>E81+F81-G81</f>
        <v/>
      </c>
      <c r="I81" s="27">
        <f>F81/E81</f>
        <v/>
      </c>
      <c r="J81" s="27">
        <f>G81/E81</f>
        <v/>
      </c>
      <c r="K81" s="24" t="inlineStr">
        <is>
          <t>2026-03</t>
        </is>
      </c>
    </row>
    <row r="82" ht="19" customHeight="1">
      <c r="A82" s="19" t="inlineStr">
        <is>
          <t>E081</t>
        </is>
      </c>
      <c r="B82" s="18" t="inlineStr">
        <is>
          <t>Employee_81</t>
        </is>
      </c>
      <c r="C82" s="19" t="inlineStr">
        <is>
          <t>Manager_D</t>
        </is>
      </c>
      <c r="D82" s="19" t="inlineStr">
        <is>
          <t>HR</t>
        </is>
      </c>
      <c r="E82" s="20" t="n">
        <v>14737555</v>
      </c>
      <c r="F82" s="20" t="n">
        <v>1108636</v>
      </c>
      <c r="G82" s="20" t="n">
        <v>1649436</v>
      </c>
      <c r="H82" s="21">
        <f>E82+F82-G82</f>
        <v/>
      </c>
      <c r="I82" s="22">
        <f>F82/E82</f>
        <v/>
      </c>
      <c r="J82" s="22">
        <f>G82/E82</f>
        <v/>
      </c>
      <c r="K82" s="19" t="inlineStr">
        <is>
          <t>2026-03</t>
        </is>
      </c>
    </row>
    <row r="83" ht="19" customHeight="1">
      <c r="A83" s="24" t="inlineStr">
        <is>
          <t>E082</t>
        </is>
      </c>
      <c r="B83" s="23" t="inlineStr">
        <is>
          <t>Employee_82</t>
        </is>
      </c>
      <c r="C83" s="24" t="inlineStr">
        <is>
          <t>Manager_C</t>
        </is>
      </c>
      <c r="D83" s="24" t="inlineStr">
        <is>
          <t>Finance</t>
        </is>
      </c>
      <c r="E83" s="25" t="n">
        <v>13521194</v>
      </c>
      <c r="F83" s="25" t="n">
        <v>2155621</v>
      </c>
      <c r="G83" s="25" t="n">
        <v>1916899</v>
      </c>
      <c r="H83" s="26">
        <f>E83+F83-G83</f>
        <v/>
      </c>
      <c r="I83" s="27">
        <f>F83/E83</f>
        <v/>
      </c>
      <c r="J83" s="27">
        <f>G83/E83</f>
        <v/>
      </c>
      <c r="K83" s="24" t="inlineStr">
        <is>
          <t>2026-03</t>
        </is>
      </c>
    </row>
    <row r="84" ht="19" customHeight="1">
      <c r="A84" s="19" t="inlineStr">
        <is>
          <t>E083</t>
        </is>
      </c>
      <c r="B84" s="18" t="inlineStr">
        <is>
          <t>Employee_83</t>
        </is>
      </c>
      <c r="C84" s="19" t="inlineStr">
        <is>
          <t>Manager_D</t>
        </is>
      </c>
      <c r="D84" s="19" t="inlineStr">
        <is>
          <t>Finance</t>
        </is>
      </c>
      <c r="E84" s="20" t="n">
        <v>19365397</v>
      </c>
      <c r="F84" s="20" t="n">
        <v>966113</v>
      </c>
      <c r="G84" s="20" t="n">
        <v>982162</v>
      </c>
      <c r="H84" s="21">
        <f>E84+F84-G84</f>
        <v/>
      </c>
      <c r="I84" s="22">
        <f>F84/E84</f>
        <v/>
      </c>
      <c r="J84" s="22">
        <f>G84/E84</f>
        <v/>
      </c>
      <c r="K84" s="19" t="inlineStr">
        <is>
          <t>2026-03</t>
        </is>
      </c>
    </row>
    <row r="85" ht="19" customHeight="1">
      <c r="A85" s="24" t="inlineStr">
        <is>
          <t>E084</t>
        </is>
      </c>
      <c r="B85" s="23" t="inlineStr">
        <is>
          <t>Employee_84</t>
        </is>
      </c>
      <c r="C85" s="24" t="inlineStr">
        <is>
          <t>Manager_A</t>
        </is>
      </c>
      <c r="D85" s="24" t="inlineStr">
        <is>
          <t>HR</t>
        </is>
      </c>
      <c r="E85" s="25" t="n">
        <v>15570372</v>
      </c>
      <c r="F85" s="25" t="n">
        <v>3333729</v>
      </c>
      <c r="G85" s="25" t="n">
        <v>1773654</v>
      </c>
      <c r="H85" s="26">
        <f>E85+F85-G85</f>
        <v/>
      </c>
      <c r="I85" s="27">
        <f>F85/E85</f>
        <v/>
      </c>
      <c r="J85" s="27">
        <f>G85/E85</f>
        <v/>
      </c>
      <c r="K85" s="24" t="inlineStr">
        <is>
          <t>2026-03</t>
        </is>
      </c>
    </row>
    <row r="86" ht="19" customHeight="1">
      <c r="A86" s="19" t="inlineStr">
        <is>
          <t>E085</t>
        </is>
      </c>
      <c r="B86" s="18" t="inlineStr">
        <is>
          <t>Employee_85</t>
        </is>
      </c>
      <c r="C86" s="19" t="inlineStr">
        <is>
          <t>Manager_C</t>
        </is>
      </c>
      <c r="D86" s="19" t="inlineStr">
        <is>
          <t>Sales</t>
        </is>
      </c>
      <c r="E86" s="20" t="n">
        <v>21239725</v>
      </c>
      <c r="F86" s="20" t="n">
        <v>116758</v>
      </c>
      <c r="G86" s="20" t="n">
        <v>554609</v>
      </c>
      <c r="H86" s="21">
        <f>E86+F86-G86</f>
        <v/>
      </c>
      <c r="I86" s="22">
        <f>F86/E86</f>
        <v/>
      </c>
      <c r="J86" s="22">
        <f>G86/E86</f>
        <v/>
      </c>
      <c r="K86" s="19" t="inlineStr">
        <is>
          <t>2026-03</t>
        </is>
      </c>
    </row>
    <row r="87" ht="19" customHeight="1">
      <c r="A87" s="24" t="inlineStr">
        <is>
          <t>E086</t>
        </is>
      </c>
      <c r="B87" s="23" t="inlineStr">
        <is>
          <t>Employee_86</t>
        </is>
      </c>
      <c r="C87" s="24" t="inlineStr">
        <is>
          <t>Manager_A</t>
        </is>
      </c>
      <c r="D87" s="24" t="inlineStr">
        <is>
          <t>Operations</t>
        </is>
      </c>
      <c r="E87" s="25" t="n">
        <v>20367682</v>
      </c>
      <c r="F87" s="25" t="n">
        <v>2199169</v>
      </c>
      <c r="G87" s="25" t="n">
        <v>1225911</v>
      </c>
      <c r="H87" s="26">
        <f>E87+F87-G87</f>
        <v/>
      </c>
      <c r="I87" s="27">
        <f>F87/E87</f>
        <v/>
      </c>
      <c r="J87" s="27">
        <f>G87/E87</f>
        <v/>
      </c>
      <c r="K87" s="24" t="inlineStr">
        <is>
          <t>2026-03</t>
        </is>
      </c>
    </row>
    <row r="88" ht="19" customHeight="1">
      <c r="A88" s="19" t="inlineStr">
        <is>
          <t>E087</t>
        </is>
      </c>
      <c r="B88" s="18" t="inlineStr">
        <is>
          <t>Employee_87</t>
        </is>
      </c>
      <c r="C88" s="19" t="inlineStr">
        <is>
          <t>Manager_D</t>
        </is>
      </c>
      <c r="D88" s="19" t="inlineStr">
        <is>
          <t>Finance</t>
        </is>
      </c>
      <c r="E88" s="20" t="n">
        <v>11635491</v>
      </c>
      <c r="F88" s="20" t="n">
        <v>1961440</v>
      </c>
      <c r="G88" s="20" t="n">
        <v>988758</v>
      </c>
      <c r="H88" s="21">
        <f>E88+F88-G88</f>
        <v/>
      </c>
      <c r="I88" s="22">
        <f>F88/E88</f>
        <v/>
      </c>
      <c r="J88" s="22">
        <f>G88/E88</f>
        <v/>
      </c>
      <c r="K88" s="19" t="inlineStr">
        <is>
          <t>2026-03</t>
        </is>
      </c>
    </row>
    <row r="89" ht="19" customHeight="1">
      <c r="A89" s="24" t="inlineStr">
        <is>
          <t>E088</t>
        </is>
      </c>
      <c r="B89" s="23" t="inlineStr">
        <is>
          <t>Employee_88</t>
        </is>
      </c>
      <c r="C89" s="24" t="inlineStr">
        <is>
          <t>Manager_A</t>
        </is>
      </c>
      <c r="D89" s="24" t="inlineStr">
        <is>
          <t>Finance</t>
        </is>
      </c>
      <c r="E89" s="25" t="n">
        <v>28470961</v>
      </c>
      <c r="F89" s="25" t="n">
        <v>1856962</v>
      </c>
      <c r="G89" s="25" t="n">
        <v>1358225</v>
      </c>
      <c r="H89" s="26">
        <f>E89+F89-G89</f>
        <v/>
      </c>
      <c r="I89" s="27">
        <f>F89/E89</f>
        <v/>
      </c>
      <c r="J89" s="27">
        <f>G89/E89</f>
        <v/>
      </c>
      <c r="K89" s="24" t="inlineStr">
        <is>
          <t>2026-03</t>
        </is>
      </c>
    </row>
    <row r="90" ht="19" customHeight="1">
      <c r="A90" s="19" t="inlineStr">
        <is>
          <t>E089</t>
        </is>
      </c>
      <c r="B90" s="18" t="inlineStr">
        <is>
          <t>Employee_89</t>
        </is>
      </c>
      <c r="C90" s="19" t="inlineStr">
        <is>
          <t>Manager_A</t>
        </is>
      </c>
      <c r="D90" s="19" t="inlineStr">
        <is>
          <t>Operations</t>
        </is>
      </c>
      <c r="E90" s="20" t="n">
        <v>18139819</v>
      </c>
      <c r="F90" s="20" t="n">
        <v>3425033</v>
      </c>
      <c r="G90" s="20" t="n">
        <v>244687</v>
      </c>
      <c r="H90" s="21">
        <f>E90+F90-G90</f>
        <v/>
      </c>
      <c r="I90" s="22">
        <f>F90/E90</f>
        <v/>
      </c>
      <c r="J90" s="22">
        <f>G90/E90</f>
        <v/>
      </c>
      <c r="K90" s="19" t="inlineStr">
        <is>
          <t>2026-03</t>
        </is>
      </c>
    </row>
    <row r="91" ht="19" customHeight="1">
      <c r="A91" s="24" t="inlineStr">
        <is>
          <t>E090</t>
        </is>
      </c>
      <c r="B91" s="23" t="inlineStr">
        <is>
          <t>Employee_90</t>
        </is>
      </c>
      <c r="C91" s="24" t="inlineStr">
        <is>
          <t>Manager_B</t>
        </is>
      </c>
      <c r="D91" s="24" t="inlineStr">
        <is>
          <t>Sales</t>
        </is>
      </c>
      <c r="E91" s="25" t="n">
        <v>9248631</v>
      </c>
      <c r="F91" s="25" t="n">
        <v>2553195</v>
      </c>
      <c r="G91" s="25" t="n">
        <v>1033108</v>
      </c>
      <c r="H91" s="26">
        <f>E91+F91-G91</f>
        <v/>
      </c>
      <c r="I91" s="27">
        <f>F91/E91</f>
        <v/>
      </c>
      <c r="J91" s="27">
        <f>G91/E91</f>
        <v/>
      </c>
      <c r="K91" s="24" t="inlineStr">
        <is>
          <t>2026-03</t>
        </is>
      </c>
    </row>
    <row r="92" ht="19" customHeight="1">
      <c r="A92" s="19" t="inlineStr">
        <is>
          <t>E091</t>
        </is>
      </c>
      <c r="B92" s="18" t="inlineStr">
        <is>
          <t>Employee_91</t>
        </is>
      </c>
      <c r="C92" s="19" t="inlineStr">
        <is>
          <t>Manager_A</t>
        </is>
      </c>
      <c r="D92" s="19" t="inlineStr">
        <is>
          <t>Sales</t>
        </is>
      </c>
      <c r="E92" s="20" t="n">
        <v>15878581</v>
      </c>
      <c r="F92" s="20" t="n">
        <v>4509267</v>
      </c>
      <c r="G92" s="20" t="n">
        <v>284508</v>
      </c>
      <c r="H92" s="21">
        <f>E92+F92-G92</f>
        <v/>
      </c>
      <c r="I92" s="22">
        <f>F92/E92</f>
        <v/>
      </c>
      <c r="J92" s="22">
        <f>G92/E92</f>
        <v/>
      </c>
      <c r="K92" s="19" t="inlineStr">
        <is>
          <t>2026-03</t>
        </is>
      </c>
    </row>
    <row r="93" ht="19" customHeight="1">
      <c r="A93" s="24" t="inlineStr">
        <is>
          <t>E092</t>
        </is>
      </c>
      <c r="B93" s="23" t="inlineStr">
        <is>
          <t>Employee_92</t>
        </is>
      </c>
      <c r="C93" s="24" t="inlineStr">
        <is>
          <t>Manager_D</t>
        </is>
      </c>
      <c r="D93" s="24" t="inlineStr">
        <is>
          <t>Operations</t>
        </is>
      </c>
      <c r="E93" s="25" t="n">
        <v>20449080</v>
      </c>
      <c r="F93" s="25" t="n">
        <v>4531463</v>
      </c>
      <c r="G93" s="25" t="n">
        <v>878972</v>
      </c>
      <c r="H93" s="26">
        <f>E93+F93-G93</f>
        <v/>
      </c>
      <c r="I93" s="27">
        <f>F93/E93</f>
        <v/>
      </c>
      <c r="J93" s="27">
        <f>G93/E93</f>
        <v/>
      </c>
      <c r="K93" s="24" t="inlineStr">
        <is>
          <t>2026-03</t>
        </is>
      </c>
    </row>
    <row r="94" ht="19" customHeight="1">
      <c r="A94" s="19" t="inlineStr">
        <is>
          <t>E093</t>
        </is>
      </c>
      <c r="B94" s="18" t="inlineStr">
        <is>
          <t>Employee_93</t>
        </is>
      </c>
      <c r="C94" s="19" t="inlineStr">
        <is>
          <t>Manager_B</t>
        </is>
      </c>
      <c r="D94" s="19" t="inlineStr">
        <is>
          <t>Operations</t>
        </is>
      </c>
      <c r="E94" s="20" t="n">
        <v>29975532</v>
      </c>
      <c r="F94" s="20" t="n">
        <v>830653</v>
      </c>
      <c r="G94" s="20" t="n">
        <v>1748381</v>
      </c>
      <c r="H94" s="21">
        <f>E94+F94-G94</f>
        <v/>
      </c>
      <c r="I94" s="22">
        <f>F94/E94</f>
        <v/>
      </c>
      <c r="J94" s="22">
        <f>G94/E94</f>
        <v/>
      </c>
      <c r="K94" s="19" t="inlineStr">
        <is>
          <t>2026-03</t>
        </is>
      </c>
    </row>
    <row r="95" ht="19" customHeight="1">
      <c r="A95" s="24" t="inlineStr">
        <is>
          <t>E094</t>
        </is>
      </c>
      <c r="B95" s="23" t="inlineStr">
        <is>
          <t>Employee_94</t>
        </is>
      </c>
      <c r="C95" s="24" t="inlineStr">
        <is>
          <t>Manager_D</t>
        </is>
      </c>
      <c r="D95" s="24" t="inlineStr">
        <is>
          <t>Operations</t>
        </is>
      </c>
      <c r="E95" s="25" t="n">
        <v>17386521</v>
      </c>
      <c r="F95" s="25" t="n">
        <v>274444</v>
      </c>
      <c r="G95" s="25" t="n">
        <v>1447623</v>
      </c>
      <c r="H95" s="26">
        <f>E95+F95-G95</f>
        <v/>
      </c>
      <c r="I95" s="27">
        <f>F95/E95</f>
        <v/>
      </c>
      <c r="J95" s="27">
        <f>G95/E95</f>
        <v/>
      </c>
      <c r="K95" s="24" t="inlineStr">
        <is>
          <t>2026-03</t>
        </is>
      </c>
    </row>
    <row r="96" ht="19" customHeight="1">
      <c r="A96" s="19" t="inlineStr">
        <is>
          <t>E095</t>
        </is>
      </c>
      <c r="B96" s="18" t="inlineStr">
        <is>
          <t>Employee_95</t>
        </is>
      </c>
      <c r="C96" s="19" t="inlineStr">
        <is>
          <t>Manager_C</t>
        </is>
      </c>
      <c r="D96" s="19" t="inlineStr">
        <is>
          <t>HR</t>
        </is>
      </c>
      <c r="E96" s="20" t="n">
        <v>22877467</v>
      </c>
      <c r="F96" s="20" t="n">
        <v>3730379</v>
      </c>
      <c r="G96" s="20" t="n">
        <v>1993458</v>
      </c>
      <c r="H96" s="21">
        <f>E96+F96-G96</f>
        <v/>
      </c>
      <c r="I96" s="22">
        <f>F96/E96</f>
        <v/>
      </c>
      <c r="J96" s="22">
        <f>G96/E96</f>
        <v/>
      </c>
      <c r="K96" s="19" t="inlineStr">
        <is>
          <t>2026-03</t>
        </is>
      </c>
    </row>
    <row r="97" ht="19" customHeight="1">
      <c r="A97" s="24" t="inlineStr">
        <is>
          <t>E096</t>
        </is>
      </c>
      <c r="B97" s="23" t="inlineStr">
        <is>
          <t>Employee_96</t>
        </is>
      </c>
      <c r="C97" s="24" t="inlineStr">
        <is>
          <t>Manager_B</t>
        </is>
      </c>
      <c r="D97" s="24" t="inlineStr">
        <is>
          <t>Finance</t>
        </is>
      </c>
      <c r="E97" s="25" t="n">
        <v>11333787</v>
      </c>
      <c r="F97" s="25" t="n">
        <v>3081428</v>
      </c>
      <c r="G97" s="25" t="n">
        <v>1141827</v>
      </c>
      <c r="H97" s="26">
        <f>E97+F97-G97</f>
        <v/>
      </c>
      <c r="I97" s="27">
        <f>F97/E97</f>
        <v/>
      </c>
      <c r="J97" s="27">
        <f>G97/E97</f>
        <v/>
      </c>
      <c r="K97" s="24" t="inlineStr">
        <is>
          <t>2026-03</t>
        </is>
      </c>
    </row>
    <row r="98" ht="19" customHeight="1">
      <c r="A98" s="19" t="inlineStr">
        <is>
          <t>E097</t>
        </is>
      </c>
      <c r="B98" s="18" t="inlineStr">
        <is>
          <t>Employee_97</t>
        </is>
      </c>
      <c r="C98" s="19" t="inlineStr">
        <is>
          <t>Manager_C</t>
        </is>
      </c>
      <c r="D98" s="19" t="inlineStr">
        <is>
          <t>Sales</t>
        </is>
      </c>
      <c r="E98" s="20" t="n">
        <v>21359349</v>
      </c>
      <c r="F98" s="20" t="n">
        <v>2314261</v>
      </c>
      <c r="G98" s="20" t="n">
        <v>398057</v>
      </c>
      <c r="H98" s="21">
        <f>E98+F98-G98</f>
        <v/>
      </c>
      <c r="I98" s="22">
        <f>F98/E98</f>
        <v/>
      </c>
      <c r="J98" s="22">
        <f>G98/E98</f>
        <v/>
      </c>
      <c r="K98" s="19" t="inlineStr">
        <is>
          <t>2026-03</t>
        </is>
      </c>
    </row>
    <row r="99" ht="19" customHeight="1">
      <c r="A99" s="24" t="inlineStr">
        <is>
          <t>E098</t>
        </is>
      </c>
      <c r="B99" s="23" t="inlineStr">
        <is>
          <t>Employee_98</t>
        </is>
      </c>
      <c r="C99" s="24" t="inlineStr">
        <is>
          <t>Manager_A</t>
        </is>
      </c>
      <c r="D99" s="24" t="inlineStr">
        <is>
          <t>Operations</t>
        </is>
      </c>
      <c r="E99" s="25" t="n">
        <v>11076049</v>
      </c>
      <c r="F99" s="25" t="n">
        <v>1779272</v>
      </c>
      <c r="G99" s="25" t="n">
        <v>1345751</v>
      </c>
      <c r="H99" s="26">
        <f>E99+F99-G99</f>
        <v/>
      </c>
      <c r="I99" s="27">
        <f>F99/E99</f>
        <v/>
      </c>
      <c r="J99" s="27">
        <f>G99/E99</f>
        <v/>
      </c>
      <c r="K99" s="24" t="inlineStr">
        <is>
          <t>2026-03</t>
        </is>
      </c>
    </row>
    <row r="100" ht="19" customHeight="1">
      <c r="A100" s="19" t="inlineStr">
        <is>
          <t>E099</t>
        </is>
      </c>
      <c r="B100" s="18" t="inlineStr">
        <is>
          <t>Employee_99</t>
        </is>
      </c>
      <c r="C100" s="19" t="inlineStr">
        <is>
          <t>Manager_A</t>
        </is>
      </c>
      <c r="D100" s="19" t="inlineStr">
        <is>
          <t>Sales</t>
        </is>
      </c>
      <c r="E100" s="20" t="n">
        <v>19190710</v>
      </c>
      <c r="F100" s="20" t="n">
        <v>2043203</v>
      </c>
      <c r="G100" s="20" t="n">
        <v>264081</v>
      </c>
      <c r="H100" s="21">
        <f>E100+F100-G100</f>
        <v/>
      </c>
      <c r="I100" s="22">
        <f>F100/E100</f>
        <v/>
      </c>
      <c r="J100" s="22">
        <f>G100/E100</f>
        <v/>
      </c>
      <c r="K100" s="19" t="inlineStr">
        <is>
          <t>2026-03</t>
        </is>
      </c>
    </row>
    <row r="101" ht="19" customHeight="1">
      <c r="A101" s="24" t="inlineStr">
        <is>
          <t>E100</t>
        </is>
      </c>
      <c r="B101" s="23" t="inlineStr">
        <is>
          <t>Employee_100</t>
        </is>
      </c>
      <c r="C101" s="24" t="inlineStr">
        <is>
          <t>Manager_B</t>
        </is>
      </c>
      <c r="D101" s="24" t="inlineStr">
        <is>
          <t>Sales</t>
        </is>
      </c>
      <c r="E101" s="25" t="n">
        <v>26596127</v>
      </c>
      <c r="F101" s="25" t="n">
        <v>1737761</v>
      </c>
      <c r="G101" s="25" t="n">
        <v>1229734</v>
      </c>
      <c r="H101" s="26">
        <f>E101+F101-G101</f>
        <v/>
      </c>
      <c r="I101" s="27">
        <f>F101/E101</f>
        <v/>
      </c>
      <c r="J101" s="27">
        <f>G101/E101</f>
        <v/>
      </c>
      <c r="K101" s="24" t="inlineStr">
        <is>
          <t>2026-03</t>
        </is>
      </c>
    </row>
    <row r="102" ht="19" customHeight="1">
      <c r="A102" s="19" t="inlineStr">
        <is>
          <t>E101</t>
        </is>
      </c>
      <c r="B102" s="18" t="inlineStr">
        <is>
          <t>Employee_101</t>
        </is>
      </c>
      <c r="C102" s="19" t="inlineStr">
        <is>
          <t>Manager_B</t>
        </is>
      </c>
      <c r="D102" s="19" t="inlineStr">
        <is>
          <t>HR</t>
        </is>
      </c>
      <c r="E102" s="20" t="n">
        <v>19024629</v>
      </c>
      <c r="F102" s="20" t="n">
        <v>1237774</v>
      </c>
      <c r="G102" s="20" t="n">
        <v>1653905</v>
      </c>
      <c r="H102" s="21">
        <f>E102+F102-G102</f>
        <v/>
      </c>
      <c r="I102" s="22">
        <f>F102/E102</f>
        <v/>
      </c>
      <c r="J102" s="22">
        <f>G102/E102</f>
        <v/>
      </c>
      <c r="K102" s="19" t="inlineStr">
        <is>
          <t>2026-03</t>
        </is>
      </c>
    </row>
    <row r="103" ht="19" customHeight="1">
      <c r="A103" s="24" t="inlineStr">
        <is>
          <t>E102</t>
        </is>
      </c>
      <c r="B103" s="23" t="inlineStr">
        <is>
          <t>Employee_102</t>
        </is>
      </c>
      <c r="C103" s="24" t="inlineStr">
        <is>
          <t>Manager_A</t>
        </is>
      </c>
      <c r="D103" s="24" t="inlineStr">
        <is>
          <t>Finance</t>
        </is>
      </c>
      <c r="E103" s="25" t="n">
        <v>12854922</v>
      </c>
      <c r="F103" s="25" t="n">
        <v>1090453</v>
      </c>
      <c r="G103" s="25" t="n">
        <v>1132913</v>
      </c>
      <c r="H103" s="26">
        <f>E103+F103-G103</f>
        <v/>
      </c>
      <c r="I103" s="27">
        <f>F103/E103</f>
        <v/>
      </c>
      <c r="J103" s="27">
        <f>G103/E103</f>
        <v/>
      </c>
      <c r="K103" s="24" t="inlineStr">
        <is>
          <t>2026-03</t>
        </is>
      </c>
    </row>
    <row r="104" ht="19" customHeight="1">
      <c r="A104" s="19" t="inlineStr">
        <is>
          <t>E103</t>
        </is>
      </c>
      <c r="B104" s="18" t="inlineStr">
        <is>
          <t>Employee_103</t>
        </is>
      </c>
      <c r="C104" s="19" t="inlineStr">
        <is>
          <t>Manager_C</t>
        </is>
      </c>
      <c r="D104" s="19" t="inlineStr">
        <is>
          <t>HR</t>
        </is>
      </c>
      <c r="E104" s="20" t="n">
        <v>11688516</v>
      </c>
      <c r="F104" s="20" t="n">
        <v>216259</v>
      </c>
      <c r="G104" s="20" t="n">
        <v>276411</v>
      </c>
      <c r="H104" s="21">
        <f>E104+F104-G104</f>
        <v/>
      </c>
      <c r="I104" s="22">
        <f>F104/E104</f>
        <v/>
      </c>
      <c r="J104" s="22">
        <f>G104/E104</f>
        <v/>
      </c>
      <c r="K104" s="19" t="inlineStr">
        <is>
          <t>2026-03</t>
        </is>
      </c>
    </row>
    <row r="105" ht="19" customHeight="1">
      <c r="A105" s="24" t="inlineStr">
        <is>
          <t>E104</t>
        </is>
      </c>
      <c r="B105" s="23" t="inlineStr">
        <is>
          <t>Employee_104</t>
        </is>
      </c>
      <c r="C105" s="24" t="inlineStr">
        <is>
          <t>Manager_A</t>
        </is>
      </c>
      <c r="D105" s="24" t="inlineStr">
        <is>
          <t>Finance</t>
        </is>
      </c>
      <c r="E105" s="25" t="n">
        <v>15983659</v>
      </c>
      <c r="F105" s="25" t="n">
        <v>4939656</v>
      </c>
      <c r="G105" s="25" t="n">
        <v>678997</v>
      </c>
      <c r="H105" s="26">
        <f>E105+F105-G105</f>
        <v/>
      </c>
      <c r="I105" s="27">
        <f>F105/E105</f>
        <v/>
      </c>
      <c r="J105" s="27">
        <f>G105/E105</f>
        <v/>
      </c>
      <c r="K105" s="24" t="inlineStr">
        <is>
          <t>2026-03</t>
        </is>
      </c>
    </row>
    <row r="106" ht="19" customHeight="1">
      <c r="A106" s="19" t="inlineStr">
        <is>
          <t>E105</t>
        </is>
      </c>
      <c r="B106" s="18" t="inlineStr">
        <is>
          <t>Employee_105</t>
        </is>
      </c>
      <c r="C106" s="19" t="inlineStr">
        <is>
          <t>Manager_A</t>
        </is>
      </c>
      <c r="D106" s="19" t="inlineStr">
        <is>
          <t>HR</t>
        </is>
      </c>
      <c r="E106" s="20" t="n">
        <v>16904256</v>
      </c>
      <c r="F106" s="20" t="n">
        <v>439554</v>
      </c>
      <c r="G106" s="20" t="n">
        <v>265831</v>
      </c>
      <c r="H106" s="21">
        <f>E106+F106-G106</f>
        <v/>
      </c>
      <c r="I106" s="22">
        <f>F106/E106</f>
        <v/>
      </c>
      <c r="J106" s="22">
        <f>G106/E106</f>
        <v/>
      </c>
      <c r="K106" s="19" t="inlineStr">
        <is>
          <t>2026-03</t>
        </is>
      </c>
    </row>
    <row r="107" ht="19" customHeight="1">
      <c r="A107" s="24" t="inlineStr">
        <is>
          <t>E106</t>
        </is>
      </c>
      <c r="B107" s="23" t="inlineStr">
        <is>
          <t>Employee_106</t>
        </is>
      </c>
      <c r="C107" s="24" t="inlineStr">
        <is>
          <t>Manager_D</t>
        </is>
      </c>
      <c r="D107" s="24" t="inlineStr">
        <is>
          <t>Sales</t>
        </is>
      </c>
      <c r="E107" s="25" t="n">
        <v>10132653</v>
      </c>
      <c r="F107" s="25" t="n">
        <v>3995040</v>
      </c>
      <c r="G107" s="25" t="n">
        <v>940101</v>
      </c>
      <c r="H107" s="26">
        <f>E107+F107-G107</f>
        <v/>
      </c>
      <c r="I107" s="27">
        <f>F107/E107</f>
        <v/>
      </c>
      <c r="J107" s="27">
        <f>G107/E107</f>
        <v/>
      </c>
      <c r="K107" s="24" t="inlineStr">
        <is>
          <t>2026-03</t>
        </is>
      </c>
    </row>
    <row r="108" ht="19" customHeight="1">
      <c r="A108" s="19" t="inlineStr">
        <is>
          <t>E107</t>
        </is>
      </c>
      <c r="B108" s="18" t="inlineStr">
        <is>
          <t>Employee_107</t>
        </is>
      </c>
      <c r="C108" s="19" t="inlineStr">
        <is>
          <t>Manager_C</t>
        </is>
      </c>
      <c r="D108" s="19" t="inlineStr">
        <is>
          <t>Sales</t>
        </is>
      </c>
      <c r="E108" s="20" t="n">
        <v>23166785</v>
      </c>
      <c r="F108" s="20" t="n">
        <v>4226505</v>
      </c>
      <c r="G108" s="20" t="n">
        <v>464623</v>
      </c>
      <c r="H108" s="21">
        <f>E108+F108-G108</f>
        <v/>
      </c>
      <c r="I108" s="22">
        <f>F108/E108</f>
        <v/>
      </c>
      <c r="J108" s="22">
        <f>G108/E108</f>
        <v/>
      </c>
      <c r="K108" s="19" t="inlineStr">
        <is>
          <t>2026-03</t>
        </is>
      </c>
    </row>
    <row r="109" ht="19" customHeight="1">
      <c r="A109" s="24" t="inlineStr">
        <is>
          <t>E108</t>
        </is>
      </c>
      <c r="B109" s="23" t="inlineStr">
        <is>
          <t>Employee_108</t>
        </is>
      </c>
      <c r="C109" s="24" t="inlineStr">
        <is>
          <t>Manager_A</t>
        </is>
      </c>
      <c r="D109" s="24" t="inlineStr">
        <is>
          <t>Finance</t>
        </is>
      </c>
      <c r="E109" s="25" t="n">
        <v>23369356</v>
      </c>
      <c r="F109" s="25" t="n">
        <v>261310</v>
      </c>
      <c r="G109" s="25" t="n">
        <v>127560</v>
      </c>
      <c r="H109" s="26">
        <f>E109+F109-G109</f>
        <v/>
      </c>
      <c r="I109" s="27">
        <f>F109/E109</f>
        <v/>
      </c>
      <c r="J109" s="27">
        <f>G109/E109</f>
        <v/>
      </c>
      <c r="K109" s="24" t="inlineStr">
        <is>
          <t>2026-03</t>
        </is>
      </c>
    </row>
    <row r="110" ht="19" customHeight="1">
      <c r="A110" s="19" t="inlineStr">
        <is>
          <t>E109</t>
        </is>
      </c>
      <c r="B110" s="18" t="inlineStr">
        <is>
          <t>Employee_109</t>
        </is>
      </c>
      <c r="C110" s="19" t="inlineStr">
        <is>
          <t>Manager_D</t>
        </is>
      </c>
      <c r="D110" s="19" t="inlineStr">
        <is>
          <t>Operations</t>
        </is>
      </c>
      <c r="E110" s="20" t="n">
        <v>22303369</v>
      </c>
      <c r="F110" s="20" t="n">
        <v>905649</v>
      </c>
      <c r="G110" s="20" t="n">
        <v>1028168</v>
      </c>
      <c r="H110" s="21">
        <f>E110+F110-G110</f>
        <v/>
      </c>
      <c r="I110" s="22">
        <f>F110/E110</f>
        <v/>
      </c>
      <c r="J110" s="22">
        <f>G110/E110</f>
        <v/>
      </c>
      <c r="K110" s="19" t="inlineStr">
        <is>
          <t>2026-03</t>
        </is>
      </c>
    </row>
    <row r="111" ht="19" customHeight="1">
      <c r="A111" s="24" t="inlineStr">
        <is>
          <t>E110</t>
        </is>
      </c>
      <c r="B111" s="23" t="inlineStr">
        <is>
          <t>Employee_110</t>
        </is>
      </c>
      <c r="C111" s="24" t="inlineStr">
        <is>
          <t>Manager_D</t>
        </is>
      </c>
      <c r="D111" s="24" t="inlineStr">
        <is>
          <t>Sales</t>
        </is>
      </c>
      <c r="E111" s="25" t="n">
        <v>10710878</v>
      </c>
      <c r="F111" s="25" t="n">
        <v>2702069</v>
      </c>
      <c r="G111" s="25" t="n">
        <v>1275692</v>
      </c>
      <c r="H111" s="26">
        <f>E111+F111-G111</f>
        <v/>
      </c>
      <c r="I111" s="27">
        <f>F111/E111</f>
        <v/>
      </c>
      <c r="J111" s="27">
        <f>G111/E111</f>
        <v/>
      </c>
      <c r="K111" s="24" t="inlineStr">
        <is>
          <t>2026-03</t>
        </is>
      </c>
    </row>
    <row r="112" ht="19" customHeight="1">
      <c r="A112" s="19" t="inlineStr">
        <is>
          <t>E111</t>
        </is>
      </c>
      <c r="B112" s="18" t="inlineStr">
        <is>
          <t>Employee_111</t>
        </is>
      </c>
      <c r="C112" s="19" t="inlineStr">
        <is>
          <t>Manager_B</t>
        </is>
      </c>
      <c r="D112" s="19" t="inlineStr">
        <is>
          <t>Sales</t>
        </is>
      </c>
      <c r="E112" s="20" t="n">
        <v>12234287</v>
      </c>
      <c r="F112" s="20" t="n">
        <v>2307001</v>
      </c>
      <c r="G112" s="20" t="n">
        <v>1309288</v>
      </c>
      <c r="H112" s="21">
        <f>E112+F112-G112</f>
        <v/>
      </c>
      <c r="I112" s="22">
        <f>F112/E112</f>
        <v/>
      </c>
      <c r="J112" s="22">
        <f>G112/E112</f>
        <v/>
      </c>
      <c r="K112" s="19" t="inlineStr">
        <is>
          <t>2026-03</t>
        </is>
      </c>
    </row>
    <row r="113" ht="19" customHeight="1">
      <c r="A113" s="24" t="inlineStr">
        <is>
          <t>E112</t>
        </is>
      </c>
      <c r="B113" s="23" t="inlineStr">
        <is>
          <t>Employee_112</t>
        </is>
      </c>
      <c r="C113" s="24" t="inlineStr">
        <is>
          <t>Manager_C</t>
        </is>
      </c>
      <c r="D113" s="24" t="inlineStr">
        <is>
          <t>Operations</t>
        </is>
      </c>
      <c r="E113" s="25" t="n">
        <v>28045144</v>
      </c>
      <c r="F113" s="25" t="n">
        <v>4450633</v>
      </c>
      <c r="G113" s="25" t="n">
        <v>618445</v>
      </c>
      <c r="H113" s="26">
        <f>E113+F113-G113</f>
        <v/>
      </c>
      <c r="I113" s="27">
        <f>F113/E113</f>
        <v/>
      </c>
      <c r="J113" s="27">
        <f>G113/E113</f>
        <v/>
      </c>
      <c r="K113" s="24" t="inlineStr">
        <is>
          <t>2026-03</t>
        </is>
      </c>
    </row>
    <row r="114" ht="19" customHeight="1">
      <c r="A114" s="19" t="inlineStr">
        <is>
          <t>E113</t>
        </is>
      </c>
      <c r="B114" s="18" t="inlineStr">
        <is>
          <t>Employee_113</t>
        </is>
      </c>
      <c r="C114" s="19" t="inlineStr">
        <is>
          <t>Manager_D</t>
        </is>
      </c>
      <c r="D114" s="19" t="inlineStr">
        <is>
          <t>Operations</t>
        </is>
      </c>
      <c r="E114" s="20" t="n">
        <v>11327876</v>
      </c>
      <c r="F114" s="20" t="n">
        <v>959774</v>
      </c>
      <c r="G114" s="20" t="n">
        <v>1788435</v>
      </c>
      <c r="H114" s="21">
        <f>E114+F114-G114</f>
        <v/>
      </c>
      <c r="I114" s="22">
        <f>F114/E114</f>
        <v/>
      </c>
      <c r="J114" s="22">
        <f>G114/E114</f>
        <v/>
      </c>
      <c r="K114" s="19" t="inlineStr">
        <is>
          <t>2026-03</t>
        </is>
      </c>
    </row>
    <row r="115" ht="19" customHeight="1">
      <c r="A115" s="24" t="inlineStr">
        <is>
          <t>E114</t>
        </is>
      </c>
      <c r="B115" s="23" t="inlineStr">
        <is>
          <t>Employee_114</t>
        </is>
      </c>
      <c r="C115" s="24" t="inlineStr">
        <is>
          <t>Manager_B</t>
        </is>
      </c>
      <c r="D115" s="24" t="inlineStr">
        <is>
          <t>Operations</t>
        </is>
      </c>
      <c r="E115" s="25" t="n">
        <v>23151668</v>
      </c>
      <c r="F115" s="25" t="n">
        <v>1916743</v>
      </c>
      <c r="G115" s="25" t="n">
        <v>867829</v>
      </c>
      <c r="H115" s="26">
        <f>E115+F115-G115</f>
        <v/>
      </c>
      <c r="I115" s="27">
        <f>F115/E115</f>
        <v/>
      </c>
      <c r="J115" s="27">
        <f>G115/E115</f>
        <v/>
      </c>
      <c r="K115" s="24" t="inlineStr">
        <is>
          <t>2026-03</t>
        </is>
      </c>
    </row>
    <row r="116" ht="19" customHeight="1">
      <c r="A116" s="19" t="inlineStr">
        <is>
          <t>E115</t>
        </is>
      </c>
      <c r="B116" s="18" t="inlineStr">
        <is>
          <t>Employee_115</t>
        </is>
      </c>
      <c r="C116" s="19" t="inlineStr">
        <is>
          <t>Manager_C</t>
        </is>
      </c>
      <c r="D116" s="19" t="inlineStr">
        <is>
          <t>Operations</t>
        </is>
      </c>
      <c r="E116" s="20" t="n">
        <v>21379164</v>
      </c>
      <c r="F116" s="20" t="n">
        <v>3489574</v>
      </c>
      <c r="G116" s="20" t="n">
        <v>1530108</v>
      </c>
      <c r="H116" s="21">
        <f>E116+F116-G116</f>
        <v/>
      </c>
      <c r="I116" s="22">
        <f>F116/E116</f>
        <v/>
      </c>
      <c r="J116" s="22">
        <f>G116/E116</f>
        <v/>
      </c>
      <c r="K116" s="19" t="inlineStr">
        <is>
          <t>2026-03</t>
        </is>
      </c>
    </row>
    <row r="117" ht="19" customHeight="1">
      <c r="A117" s="24" t="inlineStr">
        <is>
          <t>E116</t>
        </is>
      </c>
      <c r="B117" s="23" t="inlineStr">
        <is>
          <t>Employee_116</t>
        </is>
      </c>
      <c r="C117" s="24" t="inlineStr">
        <is>
          <t>Manager_A</t>
        </is>
      </c>
      <c r="D117" s="24" t="inlineStr">
        <is>
          <t>Finance</t>
        </is>
      </c>
      <c r="E117" s="25" t="n">
        <v>22319823</v>
      </c>
      <c r="F117" s="25" t="n">
        <v>2621637</v>
      </c>
      <c r="G117" s="25" t="n">
        <v>1394832</v>
      </c>
      <c r="H117" s="26">
        <f>E117+F117-G117</f>
        <v/>
      </c>
      <c r="I117" s="27">
        <f>F117/E117</f>
        <v/>
      </c>
      <c r="J117" s="27">
        <f>G117/E117</f>
        <v/>
      </c>
      <c r="K117" s="24" t="inlineStr">
        <is>
          <t>2026-03</t>
        </is>
      </c>
    </row>
    <row r="118" ht="19" customHeight="1">
      <c r="A118" s="19" t="inlineStr">
        <is>
          <t>E117</t>
        </is>
      </c>
      <c r="B118" s="18" t="inlineStr">
        <is>
          <t>Employee_117</t>
        </is>
      </c>
      <c r="C118" s="19" t="inlineStr">
        <is>
          <t>Manager_C</t>
        </is>
      </c>
      <c r="D118" s="19" t="inlineStr">
        <is>
          <t>Finance</t>
        </is>
      </c>
      <c r="E118" s="20" t="n">
        <v>13121712</v>
      </c>
      <c r="F118" s="20" t="n">
        <v>3978447</v>
      </c>
      <c r="G118" s="20" t="n">
        <v>140788</v>
      </c>
      <c r="H118" s="21">
        <f>E118+F118-G118</f>
        <v/>
      </c>
      <c r="I118" s="22">
        <f>F118/E118</f>
        <v/>
      </c>
      <c r="J118" s="22">
        <f>G118/E118</f>
        <v/>
      </c>
      <c r="K118" s="19" t="inlineStr">
        <is>
          <t>2026-03</t>
        </is>
      </c>
    </row>
    <row r="119" ht="19" customHeight="1">
      <c r="A119" s="24" t="inlineStr">
        <is>
          <t>E118</t>
        </is>
      </c>
      <c r="B119" s="23" t="inlineStr">
        <is>
          <t>Employee_118</t>
        </is>
      </c>
      <c r="C119" s="24" t="inlineStr">
        <is>
          <t>Manager_A</t>
        </is>
      </c>
      <c r="D119" s="24" t="inlineStr">
        <is>
          <t>Sales</t>
        </is>
      </c>
      <c r="E119" s="25" t="n">
        <v>11128283</v>
      </c>
      <c r="F119" s="25" t="n">
        <v>3622842</v>
      </c>
      <c r="G119" s="25" t="n">
        <v>202510</v>
      </c>
      <c r="H119" s="26">
        <f>E119+F119-G119</f>
        <v/>
      </c>
      <c r="I119" s="27">
        <f>F119/E119</f>
        <v/>
      </c>
      <c r="J119" s="27">
        <f>G119/E119</f>
        <v/>
      </c>
      <c r="K119" s="24" t="inlineStr">
        <is>
          <t>2026-03</t>
        </is>
      </c>
    </row>
    <row r="120" ht="19" customHeight="1">
      <c r="A120" s="19" t="inlineStr">
        <is>
          <t>E119</t>
        </is>
      </c>
      <c r="B120" s="18" t="inlineStr">
        <is>
          <t>Employee_119</t>
        </is>
      </c>
      <c r="C120" s="19" t="inlineStr">
        <is>
          <t>Manager_C</t>
        </is>
      </c>
      <c r="D120" s="19" t="inlineStr">
        <is>
          <t>HR</t>
        </is>
      </c>
      <c r="E120" s="20" t="n">
        <v>26668704</v>
      </c>
      <c r="F120" s="20" t="n">
        <v>503156</v>
      </c>
      <c r="G120" s="20" t="n">
        <v>1229906</v>
      </c>
      <c r="H120" s="21">
        <f>E120+F120-G120</f>
        <v/>
      </c>
      <c r="I120" s="22">
        <f>F120/E120</f>
        <v/>
      </c>
      <c r="J120" s="22">
        <f>G120/E120</f>
        <v/>
      </c>
      <c r="K120" s="19" t="inlineStr">
        <is>
          <t>2026-03</t>
        </is>
      </c>
    </row>
    <row r="121" ht="19" customHeight="1">
      <c r="A121" s="24" t="inlineStr">
        <is>
          <t>E120</t>
        </is>
      </c>
      <c r="B121" s="23" t="inlineStr">
        <is>
          <t>Employee_120</t>
        </is>
      </c>
      <c r="C121" s="24" t="inlineStr">
        <is>
          <t>Manager_C</t>
        </is>
      </c>
      <c r="D121" s="24" t="inlineStr">
        <is>
          <t>Sales</t>
        </is>
      </c>
      <c r="E121" s="25" t="n">
        <v>21784450</v>
      </c>
      <c r="F121" s="25" t="n">
        <v>2966195</v>
      </c>
      <c r="G121" s="25" t="n">
        <v>1832087</v>
      </c>
      <c r="H121" s="26">
        <f>E121+F121-G121</f>
        <v/>
      </c>
      <c r="I121" s="27">
        <f>F121/E121</f>
        <v/>
      </c>
      <c r="J121" s="27">
        <f>G121/E121</f>
        <v/>
      </c>
      <c r="K121" s="24" t="inlineStr">
        <is>
          <t>2026-03</t>
        </is>
      </c>
    </row>
    <row r="122" ht="19" customHeight="1">
      <c r="A122" s="19" t="inlineStr">
        <is>
          <t>E121</t>
        </is>
      </c>
      <c r="B122" s="18" t="inlineStr">
        <is>
          <t>Employee_121</t>
        </is>
      </c>
      <c r="C122" s="19" t="inlineStr">
        <is>
          <t>Manager_D</t>
        </is>
      </c>
      <c r="D122" s="19" t="inlineStr">
        <is>
          <t>Sales</t>
        </is>
      </c>
      <c r="E122" s="20" t="n">
        <v>17651241</v>
      </c>
      <c r="F122" s="20" t="n">
        <v>2621011</v>
      </c>
      <c r="G122" s="20" t="n">
        <v>737455</v>
      </c>
      <c r="H122" s="21">
        <f>E122+F122-G122</f>
        <v/>
      </c>
      <c r="I122" s="22">
        <f>F122/E122</f>
        <v/>
      </c>
      <c r="J122" s="22">
        <f>G122/E122</f>
        <v/>
      </c>
      <c r="K122" s="19" t="inlineStr">
        <is>
          <t>2026-03</t>
        </is>
      </c>
    </row>
    <row r="123" ht="19" customHeight="1">
      <c r="A123" s="24" t="inlineStr">
        <is>
          <t>E122</t>
        </is>
      </c>
      <c r="B123" s="23" t="inlineStr">
        <is>
          <t>Employee_122</t>
        </is>
      </c>
      <c r="C123" s="24" t="inlineStr">
        <is>
          <t>Manager_A</t>
        </is>
      </c>
      <c r="D123" s="24" t="inlineStr">
        <is>
          <t>HR</t>
        </is>
      </c>
      <c r="E123" s="25" t="n">
        <v>13191883</v>
      </c>
      <c r="F123" s="25" t="n">
        <v>4044897</v>
      </c>
      <c r="G123" s="25" t="n">
        <v>470275</v>
      </c>
      <c r="H123" s="26">
        <f>E123+F123-G123</f>
        <v/>
      </c>
      <c r="I123" s="27">
        <f>F123/E123</f>
        <v/>
      </c>
      <c r="J123" s="27">
        <f>G123/E123</f>
        <v/>
      </c>
      <c r="K123" s="24" t="inlineStr">
        <is>
          <t>2026-03</t>
        </is>
      </c>
    </row>
    <row r="124" ht="19" customHeight="1">
      <c r="A124" s="19" t="inlineStr">
        <is>
          <t>E123</t>
        </is>
      </c>
      <c r="B124" s="18" t="inlineStr">
        <is>
          <t>Employee_123</t>
        </is>
      </c>
      <c r="C124" s="19" t="inlineStr">
        <is>
          <t>Manager_A</t>
        </is>
      </c>
      <c r="D124" s="19" t="inlineStr">
        <is>
          <t>Finance</t>
        </is>
      </c>
      <c r="E124" s="20" t="n">
        <v>26665172</v>
      </c>
      <c r="F124" s="20" t="n">
        <v>3083325</v>
      </c>
      <c r="G124" s="20" t="n">
        <v>240931</v>
      </c>
      <c r="H124" s="21">
        <f>E124+F124-G124</f>
        <v/>
      </c>
      <c r="I124" s="22">
        <f>F124/E124</f>
        <v/>
      </c>
      <c r="J124" s="22">
        <f>G124/E124</f>
        <v/>
      </c>
      <c r="K124" s="19" t="inlineStr">
        <is>
          <t>2026-03</t>
        </is>
      </c>
    </row>
    <row r="125" ht="19" customHeight="1">
      <c r="A125" s="24" t="inlineStr">
        <is>
          <t>E124</t>
        </is>
      </c>
      <c r="B125" s="23" t="inlineStr">
        <is>
          <t>Employee_124</t>
        </is>
      </c>
      <c r="C125" s="24" t="inlineStr">
        <is>
          <t>Manager_C</t>
        </is>
      </c>
      <c r="D125" s="24" t="inlineStr">
        <is>
          <t>HR</t>
        </is>
      </c>
      <c r="E125" s="25" t="n">
        <v>22398623</v>
      </c>
      <c r="F125" s="25" t="n">
        <v>4705721</v>
      </c>
      <c r="G125" s="25" t="n">
        <v>1609422</v>
      </c>
      <c r="H125" s="26">
        <f>E125+F125-G125</f>
        <v/>
      </c>
      <c r="I125" s="27">
        <f>F125/E125</f>
        <v/>
      </c>
      <c r="J125" s="27">
        <f>G125/E125</f>
        <v/>
      </c>
      <c r="K125" s="24" t="inlineStr">
        <is>
          <t>2026-03</t>
        </is>
      </c>
    </row>
    <row r="126" ht="19" customHeight="1">
      <c r="A126" s="19" t="inlineStr">
        <is>
          <t>E125</t>
        </is>
      </c>
      <c r="B126" s="18" t="inlineStr">
        <is>
          <t>Employee_125</t>
        </is>
      </c>
      <c r="C126" s="19" t="inlineStr">
        <is>
          <t>Manager_A</t>
        </is>
      </c>
      <c r="D126" s="19" t="inlineStr">
        <is>
          <t>Finance</t>
        </is>
      </c>
      <c r="E126" s="20" t="n">
        <v>8971507</v>
      </c>
      <c r="F126" s="20" t="n">
        <v>1513439</v>
      </c>
      <c r="G126" s="20" t="n">
        <v>573089</v>
      </c>
      <c r="H126" s="21">
        <f>E126+F126-G126</f>
        <v/>
      </c>
      <c r="I126" s="22">
        <f>F126/E126</f>
        <v/>
      </c>
      <c r="J126" s="22">
        <f>G126/E126</f>
        <v/>
      </c>
      <c r="K126" s="19" t="inlineStr">
        <is>
          <t>2026-03</t>
        </is>
      </c>
    </row>
    <row r="127" ht="19" customHeight="1">
      <c r="A127" s="24" t="inlineStr">
        <is>
          <t>E126</t>
        </is>
      </c>
      <c r="B127" s="23" t="inlineStr">
        <is>
          <t>Employee_126</t>
        </is>
      </c>
      <c r="C127" s="24" t="inlineStr">
        <is>
          <t>Manager_C</t>
        </is>
      </c>
      <c r="D127" s="24" t="inlineStr">
        <is>
          <t>Finance</t>
        </is>
      </c>
      <c r="E127" s="25" t="n">
        <v>19778391</v>
      </c>
      <c r="F127" s="25" t="n">
        <v>51219</v>
      </c>
      <c r="G127" s="25" t="n">
        <v>380435</v>
      </c>
      <c r="H127" s="26">
        <f>E127+F127-G127</f>
        <v/>
      </c>
      <c r="I127" s="27">
        <f>F127/E127</f>
        <v/>
      </c>
      <c r="J127" s="27">
        <f>G127/E127</f>
        <v/>
      </c>
      <c r="K127" s="24" t="inlineStr">
        <is>
          <t>2026-03</t>
        </is>
      </c>
    </row>
    <row r="128" ht="19" customHeight="1">
      <c r="A128" s="19" t="inlineStr">
        <is>
          <t>E127</t>
        </is>
      </c>
      <c r="B128" s="18" t="inlineStr">
        <is>
          <t>Employee_127</t>
        </is>
      </c>
      <c r="C128" s="19" t="inlineStr">
        <is>
          <t>Manager_B</t>
        </is>
      </c>
      <c r="D128" s="19" t="inlineStr">
        <is>
          <t>Operations</t>
        </is>
      </c>
      <c r="E128" s="20" t="n">
        <v>10334899</v>
      </c>
      <c r="F128" s="20" t="n">
        <v>1190130</v>
      </c>
      <c r="G128" s="20" t="n">
        <v>1553924</v>
      </c>
      <c r="H128" s="21">
        <f>E128+F128-G128</f>
        <v/>
      </c>
      <c r="I128" s="22">
        <f>F128/E128</f>
        <v/>
      </c>
      <c r="J128" s="22">
        <f>G128/E128</f>
        <v/>
      </c>
      <c r="K128" s="19" t="inlineStr">
        <is>
          <t>2026-03</t>
        </is>
      </c>
    </row>
    <row r="129" ht="19" customHeight="1">
      <c r="A129" s="24" t="inlineStr">
        <is>
          <t>E128</t>
        </is>
      </c>
      <c r="B129" s="23" t="inlineStr">
        <is>
          <t>Employee_128</t>
        </is>
      </c>
      <c r="C129" s="24" t="inlineStr">
        <is>
          <t>Manager_A</t>
        </is>
      </c>
      <c r="D129" s="24" t="inlineStr">
        <is>
          <t>Sales</t>
        </is>
      </c>
      <c r="E129" s="25" t="n">
        <v>25800045</v>
      </c>
      <c r="F129" s="25" t="n">
        <v>1804665</v>
      </c>
      <c r="G129" s="25" t="n">
        <v>788936</v>
      </c>
      <c r="H129" s="26">
        <f>E129+F129-G129</f>
        <v/>
      </c>
      <c r="I129" s="27">
        <f>F129/E129</f>
        <v/>
      </c>
      <c r="J129" s="27">
        <f>G129/E129</f>
        <v/>
      </c>
      <c r="K129" s="24" t="inlineStr">
        <is>
          <t>2026-03</t>
        </is>
      </c>
    </row>
    <row r="130" ht="19" customHeight="1">
      <c r="A130" s="19" t="inlineStr">
        <is>
          <t>E129</t>
        </is>
      </c>
      <c r="B130" s="18" t="inlineStr">
        <is>
          <t>Employee_129</t>
        </is>
      </c>
      <c r="C130" s="19" t="inlineStr">
        <is>
          <t>Manager_D</t>
        </is>
      </c>
      <c r="D130" s="19" t="inlineStr">
        <is>
          <t>Operations</t>
        </is>
      </c>
      <c r="E130" s="20" t="n">
        <v>19438571</v>
      </c>
      <c r="F130" s="20" t="n">
        <v>1320444</v>
      </c>
      <c r="G130" s="20" t="n">
        <v>776057</v>
      </c>
      <c r="H130" s="21">
        <f>E130+F130-G130</f>
        <v/>
      </c>
      <c r="I130" s="22">
        <f>F130/E130</f>
        <v/>
      </c>
      <c r="J130" s="22">
        <f>G130/E130</f>
        <v/>
      </c>
      <c r="K130" s="19" t="inlineStr">
        <is>
          <t>2026-03</t>
        </is>
      </c>
    </row>
    <row r="131" ht="19" customHeight="1">
      <c r="A131" s="24" t="inlineStr">
        <is>
          <t>E130</t>
        </is>
      </c>
      <c r="B131" s="23" t="inlineStr">
        <is>
          <t>Employee_130</t>
        </is>
      </c>
      <c r="C131" s="24" t="inlineStr">
        <is>
          <t>Manager_C</t>
        </is>
      </c>
      <c r="D131" s="24" t="inlineStr">
        <is>
          <t>Finance</t>
        </is>
      </c>
      <c r="E131" s="25" t="n">
        <v>27045279</v>
      </c>
      <c r="F131" s="25" t="n">
        <v>712671</v>
      </c>
      <c r="G131" s="25" t="n">
        <v>1852502</v>
      </c>
      <c r="H131" s="26">
        <f>E131+F131-G131</f>
        <v/>
      </c>
      <c r="I131" s="27">
        <f>F131/E131</f>
        <v/>
      </c>
      <c r="J131" s="27">
        <f>G131/E131</f>
        <v/>
      </c>
      <c r="K131" s="24" t="inlineStr">
        <is>
          <t>2026-03</t>
        </is>
      </c>
    </row>
    <row r="132" ht="19" customHeight="1">
      <c r="A132" s="19" t="inlineStr">
        <is>
          <t>E131</t>
        </is>
      </c>
      <c r="B132" s="18" t="inlineStr">
        <is>
          <t>Employee_131</t>
        </is>
      </c>
      <c r="C132" s="19" t="inlineStr">
        <is>
          <t>Manager_A</t>
        </is>
      </c>
      <c r="D132" s="19" t="inlineStr">
        <is>
          <t>HR</t>
        </is>
      </c>
      <c r="E132" s="20" t="n">
        <v>13281799</v>
      </c>
      <c r="F132" s="20" t="n">
        <v>417438</v>
      </c>
      <c r="G132" s="20" t="n">
        <v>1413414</v>
      </c>
      <c r="H132" s="21">
        <f>E132+F132-G132</f>
        <v/>
      </c>
      <c r="I132" s="22">
        <f>F132/E132</f>
        <v/>
      </c>
      <c r="J132" s="22">
        <f>G132/E132</f>
        <v/>
      </c>
      <c r="K132" s="19" t="inlineStr">
        <is>
          <t>2026-03</t>
        </is>
      </c>
    </row>
    <row r="133" ht="19" customHeight="1">
      <c r="A133" s="24" t="inlineStr">
        <is>
          <t>E132</t>
        </is>
      </c>
      <c r="B133" s="23" t="inlineStr">
        <is>
          <t>Employee_132</t>
        </is>
      </c>
      <c r="C133" s="24" t="inlineStr">
        <is>
          <t>Manager_A</t>
        </is>
      </c>
      <c r="D133" s="24" t="inlineStr">
        <is>
          <t>Finance</t>
        </is>
      </c>
      <c r="E133" s="25" t="n">
        <v>22868404</v>
      </c>
      <c r="F133" s="25" t="n">
        <v>3556893</v>
      </c>
      <c r="G133" s="25" t="n">
        <v>1018506</v>
      </c>
      <c r="H133" s="26">
        <f>E133+F133-G133</f>
        <v/>
      </c>
      <c r="I133" s="27">
        <f>F133/E133</f>
        <v/>
      </c>
      <c r="J133" s="27">
        <f>G133/E133</f>
        <v/>
      </c>
      <c r="K133" s="24" t="inlineStr">
        <is>
          <t>2026-03</t>
        </is>
      </c>
    </row>
    <row r="134" ht="19" customHeight="1">
      <c r="A134" s="19" t="inlineStr">
        <is>
          <t>E133</t>
        </is>
      </c>
      <c r="B134" s="18" t="inlineStr">
        <is>
          <t>Employee_133</t>
        </is>
      </c>
      <c r="C134" s="19" t="inlineStr">
        <is>
          <t>Manager_D</t>
        </is>
      </c>
      <c r="D134" s="19" t="inlineStr">
        <is>
          <t>Operations</t>
        </is>
      </c>
      <c r="E134" s="20" t="n">
        <v>17165958</v>
      </c>
      <c r="F134" s="20" t="n">
        <v>1808323</v>
      </c>
      <c r="G134" s="20" t="n">
        <v>1583230</v>
      </c>
      <c r="H134" s="21">
        <f>E134+F134-G134</f>
        <v/>
      </c>
      <c r="I134" s="22">
        <f>F134/E134</f>
        <v/>
      </c>
      <c r="J134" s="22">
        <f>G134/E134</f>
        <v/>
      </c>
      <c r="K134" s="19" t="inlineStr">
        <is>
          <t>2026-03</t>
        </is>
      </c>
    </row>
    <row r="135" ht="19" customHeight="1">
      <c r="A135" s="24" t="inlineStr">
        <is>
          <t>E134</t>
        </is>
      </c>
      <c r="B135" s="23" t="inlineStr">
        <is>
          <t>Employee_134</t>
        </is>
      </c>
      <c r="C135" s="24" t="inlineStr">
        <is>
          <t>Manager_A</t>
        </is>
      </c>
      <c r="D135" s="24" t="inlineStr">
        <is>
          <t>Finance</t>
        </is>
      </c>
      <c r="E135" s="25" t="n">
        <v>22425507</v>
      </c>
      <c r="F135" s="25" t="n">
        <v>930210</v>
      </c>
      <c r="G135" s="25" t="n">
        <v>594010</v>
      </c>
      <c r="H135" s="26">
        <f>E135+F135-G135</f>
        <v/>
      </c>
      <c r="I135" s="27">
        <f>F135/E135</f>
        <v/>
      </c>
      <c r="J135" s="27">
        <f>G135/E135</f>
        <v/>
      </c>
      <c r="K135" s="24" t="inlineStr">
        <is>
          <t>2026-03</t>
        </is>
      </c>
    </row>
    <row r="136" ht="19" customHeight="1">
      <c r="A136" s="19" t="inlineStr">
        <is>
          <t>E135</t>
        </is>
      </c>
      <c r="B136" s="18" t="inlineStr">
        <is>
          <t>Employee_135</t>
        </is>
      </c>
      <c r="C136" s="19" t="inlineStr">
        <is>
          <t>Manager_D</t>
        </is>
      </c>
      <c r="D136" s="19" t="inlineStr">
        <is>
          <t>Finance</t>
        </is>
      </c>
      <c r="E136" s="20" t="n">
        <v>9523953</v>
      </c>
      <c r="F136" s="20" t="n">
        <v>1849842</v>
      </c>
      <c r="G136" s="20" t="n">
        <v>828927</v>
      </c>
      <c r="H136" s="21">
        <f>E136+F136-G136</f>
        <v/>
      </c>
      <c r="I136" s="22">
        <f>F136/E136</f>
        <v/>
      </c>
      <c r="J136" s="22">
        <f>G136/E136</f>
        <v/>
      </c>
      <c r="K136" s="19" t="inlineStr">
        <is>
          <t>2026-03</t>
        </is>
      </c>
    </row>
    <row r="137" ht="19" customHeight="1">
      <c r="A137" s="24" t="inlineStr">
        <is>
          <t>E136</t>
        </is>
      </c>
      <c r="B137" s="23" t="inlineStr">
        <is>
          <t>Employee_136</t>
        </is>
      </c>
      <c r="C137" s="24" t="inlineStr">
        <is>
          <t>Manager_A</t>
        </is>
      </c>
      <c r="D137" s="24" t="inlineStr">
        <is>
          <t>Sales</t>
        </is>
      </c>
      <c r="E137" s="25" t="n">
        <v>14859301</v>
      </c>
      <c r="F137" s="25" t="n">
        <v>2528488</v>
      </c>
      <c r="G137" s="25" t="n">
        <v>1982488</v>
      </c>
      <c r="H137" s="26">
        <f>E137+F137-G137</f>
        <v/>
      </c>
      <c r="I137" s="27">
        <f>F137/E137</f>
        <v/>
      </c>
      <c r="J137" s="27">
        <f>G137/E137</f>
        <v/>
      </c>
      <c r="K137" s="24" t="inlineStr">
        <is>
          <t>2026-03</t>
        </is>
      </c>
    </row>
    <row r="138" ht="19" customHeight="1">
      <c r="A138" s="19" t="inlineStr">
        <is>
          <t>E137</t>
        </is>
      </c>
      <c r="B138" s="18" t="inlineStr">
        <is>
          <t>Employee_137</t>
        </is>
      </c>
      <c r="C138" s="19" t="inlineStr">
        <is>
          <t>Manager_B</t>
        </is>
      </c>
      <c r="D138" s="19" t="inlineStr">
        <is>
          <t>HR</t>
        </is>
      </c>
      <c r="E138" s="20" t="n">
        <v>16573811</v>
      </c>
      <c r="F138" s="20" t="n">
        <v>2428058</v>
      </c>
      <c r="G138" s="20" t="n">
        <v>688122</v>
      </c>
      <c r="H138" s="21">
        <f>E138+F138-G138</f>
        <v/>
      </c>
      <c r="I138" s="22">
        <f>F138/E138</f>
        <v/>
      </c>
      <c r="J138" s="22">
        <f>G138/E138</f>
        <v/>
      </c>
      <c r="K138" s="19" t="inlineStr">
        <is>
          <t>2026-03</t>
        </is>
      </c>
    </row>
    <row r="139" ht="19" customHeight="1">
      <c r="A139" s="24" t="inlineStr">
        <is>
          <t>E138</t>
        </is>
      </c>
      <c r="B139" s="23" t="inlineStr">
        <is>
          <t>Employee_138</t>
        </is>
      </c>
      <c r="C139" s="24" t="inlineStr">
        <is>
          <t>Manager_A</t>
        </is>
      </c>
      <c r="D139" s="24" t="inlineStr">
        <is>
          <t>Sales</t>
        </is>
      </c>
      <c r="E139" s="25" t="n">
        <v>24689482</v>
      </c>
      <c r="F139" s="25" t="n">
        <v>3612596</v>
      </c>
      <c r="G139" s="25" t="n">
        <v>368458</v>
      </c>
      <c r="H139" s="26">
        <f>E139+F139-G139</f>
        <v/>
      </c>
      <c r="I139" s="27">
        <f>F139/E139</f>
        <v/>
      </c>
      <c r="J139" s="27">
        <f>G139/E139</f>
        <v/>
      </c>
      <c r="K139" s="24" t="inlineStr">
        <is>
          <t>2026-03</t>
        </is>
      </c>
    </row>
    <row r="140" ht="19" customHeight="1">
      <c r="A140" s="19" t="inlineStr">
        <is>
          <t>E139</t>
        </is>
      </c>
      <c r="B140" s="18" t="inlineStr">
        <is>
          <t>Employee_139</t>
        </is>
      </c>
      <c r="C140" s="19" t="inlineStr">
        <is>
          <t>Manager_B</t>
        </is>
      </c>
      <c r="D140" s="19" t="inlineStr">
        <is>
          <t>Operations</t>
        </is>
      </c>
      <c r="E140" s="20" t="n">
        <v>25870498</v>
      </c>
      <c r="F140" s="20" t="n">
        <v>1930308</v>
      </c>
      <c r="G140" s="20" t="n">
        <v>1049126</v>
      </c>
      <c r="H140" s="21">
        <f>E140+F140-G140</f>
        <v/>
      </c>
      <c r="I140" s="22">
        <f>F140/E140</f>
        <v/>
      </c>
      <c r="J140" s="22">
        <f>G140/E140</f>
        <v/>
      </c>
      <c r="K140" s="19" t="inlineStr">
        <is>
          <t>2026-03</t>
        </is>
      </c>
    </row>
    <row r="141" ht="19" customHeight="1">
      <c r="A141" s="24" t="inlineStr">
        <is>
          <t>E140</t>
        </is>
      </c>
      <c r="B141" s="23" t="inlineStr">
        <is>
          <t>Employee_140</t>
        </is>
      </c>
      <c r="C141" s="24" t="inlineStr">
        <is>
          <t>Manager_C</t>
        </is>
      </c>
      <c r="D141" s="24" t="inlineStr">
        <is>
          <t>Sales</t>
        </is>
      </c>
      <c r="E141" s="25" t="n">
        <v>21323497</v>
      </c>
      <c r="F141" s="25" t="n">
        <v>354857</v>
      </c>
      <c r="G141" s="25" t="n">
        <v>914818</v>
      </c>
      <c r="H141" s="26">
        <f>E141+F141-G141</f>
        <v/>
      </c>
      <c r="I141" s="27">
        <f>F141/E141</f>
        <v/>
      </c>
      <c r="J141" s="27">
        <f>G141/E141</f>
        <v/>
      </c>
      <c r="K141" s="24" t="inlineStr">
        <is>
          <t>2026-03</t>
        </is>
      </c>
    </row>
    <row r="142" ht="19" customHeight="1">
      <c r="A142" s="19" t="inlineStr">
        <is>
          <t>E141</t>
        </is>
      </c>
      <c r="B142" s="18" t="inlineStr">
        <is>
          <t>Employee_141</t>
        </is>
      </c>
      <c r="C142" s="19" t="inlineStr">
        <is>
          <t>Manager_A</t>
        </is>
      </c>
      <c r="D142" s="19" t="inlineStr">
        <is>
          <t>Operations</t>
        </is>
      </c>
      <c r="E142" s="20" t="n">
        <v>10612635</v>
      </c>
      <c r="F142" s="20" t="n">
        <v>2626142</v>
      </c>
      <c r="G142" s="20" t="n">
        <v>1207454</v>
      </c>
      <c r="H142" s="21">
        <f>E142+F142-G142</f>
        <v/>
      </c>
      <c r="I142" s="22">
        <f>F142/E142</f>
        <v/>
      </c>
      <c r="J142" s="22">
        <f>G142/E142</f>
        <v/>
      </c>
      <c r="K142" s="19" t="inlineStr">
        <is>
          <t>2026-03</t>
        </is>
      </c>
    </row>
    <row r="143" ht="19" customHeight="1">
      <c r="A143" s="24" t="inlineStr">
        <is>
          <t>E142</t>
        </is>
      </c>
      <c r="B143" s="23" t="inlineStr">
        <is>
          <t>Employee_142</t>
        </is>
      </c>
      <c r="C143" s="24" t="inlineStr">
        <is>
          <t>Manager_D</t>
        </is>
      </c>
      <c r="D143" s="24" t="inlineStr">
        <is>
          <t>Operations</t>
        </is>
      </c>
      <c r="E143" s="25" t="n">
        <v>29479590</v>
      </c>
      <c r="F143" s="25" t="n">
        <v>3503870</v>
      </c>
      <c r="G143" s="25" t="n">
        <v>607157</v>
      </c>
      <c r="H143" s="26">
        <f>E143+F143-G143</f>
        <v/>
      </c>
      <c r="I143" s="27">
        <f>F143/E143</f>
        <v/>
      </c>
      <c r="J143" s="27">
        <f>G143/E143</f>
        <v/>
      </c>
      <c r="K143" s="24" t="inlineStr">
        <is>
          <t>2026-03</t>
        </is>
      </c>
    </row>
    <row r="144" ht="19" customHeight="1">
      <c r="A144" s="19" t="inlineStr">
        <is>
          <t>E143</t>
        </is>
      </c>
      <c r="B144" s="18" t="inlineStr">
        <is>
          <t>Employee_143</t>
        </is>
      </c>
      <c r="C144" s="19" t="inlineStr">
        <is>
          <t>Manager_A</t>
        </is>
      </c>
      <c r="D144" s="19" t="inlineStr">
        <is>
          <t>Operations</t>
        </is>
      </c>
      <c r="E144" s="20" t="n">
        <v>8699829</v>
      </c>
      <c r="F144" s="20" t="n">
        <v>2724352</v>
      </c>
      <c r="G144" s="20" t="n">
        <v>360444</v>
      </c>
      <c r="H144" s="21">
        <f>E144+F144-G144</f>
        <v/>
      </c>
      <c r="I144" s="22">
        <f>F144/E144</f>
        <v/>
      </c>
      <c r="J144" s="22">
        <f>G144/E144</f>
        <v/>
      </c>
      <c r="K144" s="19" t="inlineStr">
        <is>
          <t>2026-03</t>
        </is>
      </c>
    </row>
    <row r="145" ht="19" customHeight="1">
      <c r="A145" s="24" t="inlineStr">
        <is>
          <t>E144</t>
        </is>
      </c>
      <c r="B145" s="23" t="inlineStr">
        <is>
          <t>Employee_144</t>
        </is>
      </c>
      <c r="C145" s="24" t="inlineStr">
        <is>
          <t>Manager_D</t>
        </is>
      </c>
      <c r="D145" s="24" t="inlineStr">
        <is>
          <t>Finance</t>
        </is>
      </c>
      <c r="E145" s="25" t="n">
        <v>10957148</v>
      </c>
      <c r="F145" s="25" t="n">
        <v>3663403</v>
      </c>
      <c r="G145" s="25" t="n">
        <v>1771012</v>
      </c>
      <c r="H145" s="26">
        <f>E145+F145-G145</f>
        <v/>
      </c>
      <c r="I145" s="27">
        <f>F145/E145</f>
        <v/>
      </c>
      <c r="J145" s="27">
        <f>G145/E145</f>
        <v/>
      </c>
      <c r="K145" s="24" t="inlineStr">
        <is>
          <t>2026-03</t>
        </is>
      </c>
    </row>
    <row r="146" ht="19" customHeight="1">
      <c r="A146" s="19" t="inlineStr">
        <is>
          <t>E145</t>
        </is>
      </c>
      <c r="B146" s="18" t="inlineStr">
        <is>
          <t>Employee_145</t>
        </is>
      </c>
      <c r="C146" s="19" t="inlineStr">
        <is>
          <t>Manager_A</t>
        </is>
      </c>
      <c r="D146" s="19" t="inlineStr">
        <is>
          <t>HR</t>
        </is>
      </c>
      <c r="E146" s="20" t="n">
        <v>22618878</v>
      </c>
      <c r="F146" s="20" t="n">
        <v>4939810</v>
      </c>
      <c r="G146" s="20" t="n">
        <v>839804</v>
      </c>
      <c r="H146" s="21">
        <f>E146+F146-G146</f>
        <v/>
      </c>
      <c r="I146" s="22">
        <f>F146/E146</f>
        <v/>
      </c>
      <c r="J146" s="22">
        <f>G146/E146</f>
        <v/>
      </c>
      <c r="K146" s="19" t="inlineStr">
        <is>
          <t>2026-03</t>
        </is>
      </c>
    </row>
    <row r="147" ht="19" customHeight="1">
      <c r="A147" s="24" t="inlineStr">
        <is>
          <t>E146</t>
        </is>
      </c>
      <c r="B147" s="23" t="inlineStr">
        <is>
          <t>Employee_146</t>
        </is>
      </c>
      <c r="C147" s="24" t="inlineStr">
        <is>
          <t>Manager_A</t>
        </is>
      </c>
      <c r="D147" s="24" t="inlineStr">
        <is>
          <t>Operations</t>
        </is>
      </c>
      <c r="E147" s="25" t="n">
        <v>18411086</v>
      </c>
      <c r="F147" s="25" t="n">
        <v>2848043</v>
      </c>
      <c r="G147" s="25" t="n">
        <v>464670</v>
      </c>
      <c r="H147" s="26">
        <f>E147+F147-G147</f>
        <v/>
      </c>
      <c r="I147" s="27">
        <f>F147/E147</f>
        <v/>
      </c>
      <c r="J147" s="27">
        <f>G147/E147</f>
        <v/>
      </c>
      <c r="K147" s="24" t="inlineStr">
        <is>
          <t>2026-03</t>
        </is>
      </c>
    </row>
    <row r="148" ht="19" customHeight="1">
      <c r="A148" s="19" t="inlineStr">
        <is>
          <t>E147</t>
        </is>
      </c>
      <c r="B148" s="18" t="inlineStr">
        <is>
          <t>Employee_147</t>
        </is>
      </c>
      <c r="C148" s="19" t="inlineStr">
        <is>
          <t>Manager_C</t>
        </is>
      </c>
      <c r="D148" s="19" t="inlineStr">
        <is>
          <t>HR</t>
        </is>
      </c>
      <c r="E148" s="20" t="n">
        <v>10562866</v>
      </c>
      <c r="F148" s="20" t="n">
        <v>4282244</v>
      </c>
      <c r="G148" s="20" t="n">
        <v>1327968</v>
      </c>
      <c r="H148" s="21">
        <f>E148+F148-G148</f>
        <v/>
      </c>
      <c r="I148" s="22">
        <f>F148/E148</f>
        <v/>
      </c>
      <c r="J148" s="22">
        <f>G148/E148</f>
        <v/>
      </c>
      <c r="K148" s="19" t="inlineStr">
        <is>
          <t>2026-03</t>
        </is>
      </c>
    </row>
    <row r="149" ht="19" customHeight="1">
      <c r="A149" s="24" t="inlineStr">
        <is>
          <t>E148</t>
        </is>
      </c>
      <c r="B149" s="23" t="inlineStr">
        <is>
          <t>Employee_148</t>
        </is>
      </c>
      <c r="C149" s="24" t="inlineStr">
        <is>
          <t>Manager_A</t>
        </is>
      </c>
      <c r="D149" s="24" t="inlineStr">
        <is>
          <t>HR</t>
        </is>
      </c>
      <c r="E149" s="25" t="n">
        <v>19723088</v>
      </c>
      <c r="F149" s="25" t="n">
        <v>2945238</v>
      </c>
      <c r="G149" s="25" t="n">
        <v>1525424</v>
      </c>
      <c r="H149" s="26">
        <f>E149+F149-G149</f>
        <v/>
      </c>
      <c r="I149" s="27">
        <f>F149/E149</f>
        <v/>
      </c>
      <c r="J149" s="27">
        <f>G149/E149</f>
        <v/>
      </c>
      <c r="K149" s="24" t="inlineStr">
        <is>
          <t>2026-03</t>
        </is>
      </c>
    </row>
    <row r="150" ht="19" customHeight="1">
      <c r="A150" s="19" t="inlineStr">
        <is>
          <t>E149</t>
        </is>
      </c>
      <c r="B150" s="18" t="inlineStr">
        <is>
          <t>Employee_149</t>
        </is>
      </c>
      <c r="C150" s="19" t="inlineStr">
        <is>
          <t>Manager_B</t>
        </is>
      </c>
      <c r="D150" s="19" t="inlineStr">
        <is>
          <t>HR</t>
        </is>
      </c>
      <c r="E150" s="20" t="n">
        <v>11449547</v>
      </c>
      <c r="F150" s="20" t="n">
        <v>1228463</v>
      </c>
      <c r="G150" s="20" t="n">
        <v>536804</v>
      </c>
      <c r="H150" s="21">
        <f>E150+F150-G150</f>
        <v/>
      </c>
      <c r="I150" s="22">
        <f>F150/E150</f>
        <v/>
      </c>
      <c r="J150" s="22">
        <f>G150/E150</f>
        <v/>
      </c>
      <c r="K150" s="19" t="inlineStr">
        <is>
          <t>2026-03</t>
        </is>
      </c>
    </row>
    <row r="151" ht="19" customHeight="1">
      <c r="A151" s="24" t="inlineStr">
        <is>
          <t>E150</t>
        </is>
      </c>
      <c r="B151" s="23" t="inlineStr">
        <is>
          <t>Employee_150</t>
        </is>
      </c>
      <c r="C151" s="24" t="inlineStr">
        <is>
          <t>Manager_B</t>
        </is>
      </c>
      <c r="D151" s="24" t="inlineStr">
        <is>
          <t>HR</t>
        </is>
      </c>
      <c r="E151" s="25" t="n">
        <v>28213155</v>
      </c>
      <c r="F151" s="25" t="n">
        <v>1282364</v>
      </c>
      <c r="G151" s="25" t="n">
        <v>1594287</v>
      </c>
      <c r="H151" s="26">
        <f>E151+F151-G151</f>
        <v/>
      </c>
      <c r="I151" s="27">
        <f>F151/E151</f>
        <v/>
      </c>
      <c r="J151" s="27">
        <f>G151/E151</f>
        <v/>
      </c>
      <c r="K151" s="24" t="inlineStr">
        <is>
          <t>2026-03</t>
        </is>
      </c>
    </row>
    <row r="152" ht="19" customHeight="1">
      <c r="A152" s="19" t="inlineStr">
        <is>
          <t>E151</t>
        </is>
      </c>
      <c r="B152" s="18" t="inlineStr">
        <is>
          <t>Employee_151</t>
        </is>
      </c>
      <c r="C152" s="19" t="inlineStr">
        <is>
          <t>Manager_A</t>
        </is>
      </c>
      <c r="D152" s="19" t="inlineStr">
        <is>
          <t>HR</t>
        </is>
      </c>
      <c r="E152" s="20" t="n">
        <v>29070464</v>
      </c>
      <c r="F152" s="20" t="n">
        <v>4144954</v>
      </c>
      <c r="G152" s="20" t="n">
        <v>972980</v>
      </c>
      <c r="H152" s="21">
        <f>E152+F152-G152</f>
        <v/>
      </c>
      <c r="I152" s="22">
        <f>F152/E152</f>
        <v/>
      </c>
      <c r="J152" s="22">
        <f>G152/E152</f>
        <v/>
      </c>
      <c r="K152" s="19" t="inlineStr">
        <is>
          <t>2026-03</t>
        </is>
      </c>
    </row>
    <row r="153" ht="19" customHeight="1">
      <c r="A153" s="24" t="inlineStr">
        <is>
          <t>E152</t>
        </is>
      </c>
      <c r="B153" s="23" t="inlineStr">
        <is>
          <t>Employee_152</t>
        </is>
      </c>
      <c r="C153" s="24" t="inlineStr">
        <is>
          <t>Manager_D</t>
        </is>
      </c>
      <c r="D153" s="24" t="inlineStr">
        <is>
          <t>Finance</t>
        </is>
      </c>
      <c r="E153" s="25" t="n">
        <v>29045923</v>
      </c>
      <c r="F153" s="25" t="n">
        <v>2651965</v>
      </c>
      <c r="G153" s="25" t="n">
        <v>316580</v>
      </c>
      <c r="H153" s="26">
        <f>E153+F153-G153</f>
        <v/>
      </c>
      <c r="I153" s="27">
        <f>F153/E153</f>
        <v/>
      </c>
      <c r="J153" s="27">
        <f>G153/E153</f>
        <v/>
      </c>
      <c r="K153" s="24" t="inlineStr">
        <is>
          <t>2026-03</t>
        </is>
      </c>
    </row>
    <row r="154" ht="19" customHeight="1">
      <c r="A154" s="19" t="inlineStr">
        <is>
          <t>E153</t>
        </is>
      </c>
      <c r="B154" s="18" t="inlineStr">
        <is>
          <t>Employee_153</t>
        </is>
      </c>
      <c r="C154" s="19" t="inlineStr">
        <is>
          <t>Manager_D</t>
        </is>
      </c>
      <c r="D154" s="19" t="inlineStr">
        <is>
          <t>Sales</t>
        </is>
      </c>
      <c r="E154" s="20" t="n">
        <v>23734380</v>
      </c>
      <c r="F154" s="20" t="n">
        <v>3709510</v>
      </c>
      <c r="G154" s="20" t="n">
        <v>1324110</v>
      </c>
      <c r="H154" s="21">
        <f>E154+F154-G154</f>
        <v/>
      </c>
      <c r="I154" s="22">
        <f>F154/E154</f>
        <v/>
      </c>
      <c r="J154" s="22">
        <f>G154/E154</f>
        <v/>
      </c>
      <c r="K154" s="19" t="inlineStr">
        <is>
          <t>2026-03</t>
        </is>
      </c>
    </row>
    <row r="155" ht="19" customHeight="1">
      <c r="A155" s="24" t="inlineStr">
        <is>
          <t>E154</t>
        </is>
      </c>
      <c r="B155" s="23" t="inlineStr">
        <is>
          <t>Employee_154</t>
        </is>
      </c>
      <c r="C155" s="24" t="inlineStr">
        <is>
          <t>Manager_C</t>
        </is>
      </c>
      <c r="D155" s="24" t="inlineStr">
        <is>
          <t>Finance</t>
        </is>
      </c>
      <c r="E155" s="25" t="n">
        <v>27844754</v>
      </c>
      <c r="F155" s="25" t="n">
        <v>471205</v>
      </c>
      <c r="G155" s="25" t="n">
        <v>738076</v>
      </c>
      <c r="H155" s="26">
        <f>E155+F155-G155</f>
        <v/>
      </c>
      <c r="I155" s="27">
        <f>F155/E155</f>
        <v/>
      </c>
      <c r="J155" s="27">
        <f>G155/E155</f>
        <v/>
      </c>
      <c r="K155" s="24" t="inlineStr">
        <is>
          <t>2026-03</t>
        </is>
      </c>
    </row>
    <row r="156" ht="19" customHeight="1">
      <c r="A156" s="19" t="inlineStr">
        <is>
          <t>E155</t>
        </is>
      </c>
      <c r="B156" s="18" t="inlineStr">
        <is>
          <t>Employee_155</t>
        </is>
      </c>
      <c r="C156" s="19" t="inlineStr">
        <is>
          <t>Manager_A</t>
        </is>
      </c>
      <c r="D156" s="19" t="inlineStr">
        <is>
          <t>Finance</t>
        </is>
      </c>
      <c r="E156" s="20" t="n">
        <v>23493506</v>
      </c>
      <c r="F156" s="20" t="n">
        <v>3790928</v>
      </c>
      <c r="G156" s="20" t="n">
        <v>78868</v>
      </c>
      <c r="H156" s="21">
        <f>E156+F156-G156</f>
        <v/>
      </c>
      <c r="I156" s="22">
        <f>F156/E156</f>
        <v/>
      </c>
      <c r="J156" s="22">
        <f>G156/E156</f>
        <v/>
      </c>
      <c r="K156" s="19" t="inlineStr">
        <is>
          <t>2026-03</t>
        </is>
      </c>
    </row>
    <row r="157" ht="19" customHeight="1">
      <c r="A157" s="24" t="inlineStr">
        <is>
          <t>E156</t>
        </is>
      </c>
      <c r="B157" s="23" t="inlineStr">
        <is>
          <t>Employee_156</t>
        </is>
      </c>
      <c r="C157" s="24" t="inlineStr">
        <is>
          <t>Manager_A</t>
        </is>
      </c>
      <c r="D157" s="24" t="inlineStr">
        <is>
          <t>Finance</t>
        </is>
      </c>
      <c r="E157" s="25" t="n">
        <v>17632706</v>
      </c>
      <c r="F157" s="25" t="n">
        <v>643666</v>
      </c>
      <c r="G157" s="25" t="n">
        <v>1351963</v>
      </c>
      <c r="H157" s="26">
        <f>E157+F157-G157</f>
        <v/>
      </c>
      <c r="I157" s="27">
        <f>F157/E157</f>
        <v/>
      </c>
      <c r="J157" s="27">
        <f>G157/E157</f>
        <v/>
      </c>
      <c r="K157" s="24" t="inlineStr">
        <is>
          <t>2026-03</t>
        </is>
      </c>
    </row>
    <row r="158" ht="19" customHeight="1">
      <c r="A158" s="19" t="inlineStr">
        <is>
          <t>E157</t>
        </is>
      </c>
      <c r="B158" s="18" t="inlineStr">
        <is>
          <t>Employee_157</t>
        </is>
      </c>
      <c r="C158" s="19" t="inlineStr">
        <is>
          <t>Manager_A</t>
        </is>
      </c>
      <c r="D158" s="19" t="inlineStr">
        <is>
          <t>Operations</t>
        </is>
      </c>
      <c r="E158" s="20" t="n">
        <v>23526026</v>
      </c>
      <c r="F158" s="20" t="n">
        <v>4868155</v>
      </c>
      <c r="G158" s="20" t="n">
        <v>1162485</v>
      </c>
      <c r="H158" s="21">
        <f>E158+F158-G158</f>
        <v/>
      </c>
      <c r="I158" s="22">
        <f>F158/E158</f>
        <v/>
      </c>
      <c r="J158" s="22">
        <f>G158/E158</f>
        <v/>
      </c>
      <c r="K158" s="19" t="inlineStr">
        <is>
          <t>2026-03</t>
        </is>
      </c>
    </row>
    <row r="159" ht="19" customHeight="1">
      <c r="A159" s="24" t="inlineStr">
        <is>
          <t>E158</t>
        </is>
      </c>
      <c r="B159" s="23" t="inlineStr">
        <is>
          <t>Employee_158</t>
        </is>
      </c>
      <c r="C159" s="24" t="inlineStr">
        <is>
          <t>Manager_A</t>
        </is>
      </c>
      <c r="D159" s="24" t="inlineStr">
        <is>
          <t>Operations</t>
        </is>
      </c>
      <c r="E159" s="25" t="n">
        <v>27181615</v>
      </c>
      <c r="F159" s="25" t="n">
        <v>1579067</v>
      </c>
      <c r="G159" s="25" t="n">
        <v>674290</v>
      </c>
      <c r="H159" s="26">
        <f>E159+F159-G159</f>
        <v/>
      </c>
      <c r="I159" s="27">
        <f>F159/E159</f>
        <v/>
      </c>
      <c r="J159" s="27">
        <f>G159/E159</f>
        <v/>
      </c>
      <c r="K159" s="24" t="inlineStr">
        <is>
          <t>2026-03</t>
        </is>
      </c>
    </row>
    <row r="160" ht="19" customHeight="1">
      <c r="A160" s="19" t="inlineStr">
        <is>
          <t>E159</t>
        </is>
      </c>
      <c r="B160" s="18" t="inlineStr">
        <is>
          <t>Employee_159</t>
        </is>
      </c>
      <c r="C160" s="19" t="inlineStr">
        <is>
          <t>Manager_D</t>
        </is>
      </c>
      <c r="D160" s="19" t="inlineStr">
        <is>
          <t>HR</t>
        </is>
      </c>
      <c r="E160" s="20" t="n">
        <v>10076136</v>
      </c>
      <c r="F160" s="20" t="n">
        <v>3779261</v>
      </c>
      <c r="G160" s="20" t="n">
        <v>217059</v>
      </c>
      <c r="H160" s="21">
        <f>E160+F160-G160</f>
        <v/>
      </c>
      <c r="I160" s="22">
        <f>F160/E160</f>
        <v/>
      </c>
      <c r="J160" s="22">
        <f>G160/E160</f>
        <v/>
      </c>
      <c r="K160" s="19" t="inlineStr">
        <is>
          <t>2026-03</t>
        </is>
      </c>
    </row>
    <row r="161" ht="19" customHeight="1">
      <c r="A161" s="24" t="inlineStr">
        <is>
          <t>E160</t>
        </is>
      </c>
      <c r="B161" s="23" t="inlineStr">
        <is>
          <t>Employee_160</t>
        </is>
      </c>
      <c r="C161" s="24" t="inlineStr">
        <is>
          <t>Manager_C</t>
        </is>
      </c>
      <c r="D161" s="24" t="inlineStr">
        <is>
          <t>Sales</t>
        </is>
      </c>
      <c r="E161" s="25" t="n">
        <v>24929855</v>
      </c>
      <c r="F161" s="25" t="n">
        <v>1447529</v>
      </c>
      <c r="G161" s="25" t="n">
        <v>82086</v>
      </c>
      <c r="H161" s="26">
        <f>E161+F161-G161</f>
        <v/>
      </c>
      <c r="I161" s="27">
        <f>F161/E161</f>
        <v/>
      </c>
      <c r="J161" s="27">
        <f>G161/E161</f>
        <v/>
      </c>
      <c r="K161" s="24" t="inlineStr">
        <is>
          <t>2026-03</t>
        </is>
      </c>
    </row>
    <row r="162" ht="19" customHeight="1">
      <c r="A162" s="19" t="inlineStr">
        <is>
          <t>E161</t>
        </is>
      </c>
      <c r="B162" s="18" t="inlineStr">
        <is>
          <t>Employee_161</t>
        </is>
      </c>
      <c r="C162" s="19" t="inlineStr">
        <is>
          <t>Manager_B</t>
        </is>
      </c>
      <c r="D162" s="19" t="inlineStr">
        <is>
          <t>Operations</t>
        </is>
      </c>
      <c r="E162" s="20" t="n">
        <v>22744548</v>
      </c>
      <c r="F162" s="20" t="n">
        <v>4396205</v>
      </c>
      <c r="G162" s="20" t="n">
        <v>1096282</v>
      </c>
      <c r="H162" s="21">
        <f>E162+F162-G162</f>
        <v/>
      </c>
      <c r="I162" s="22">
        <f>F162/E162</f>
        <v/>
      </c>
      <c r="J162" s="22">
        <f>G162/E162</f>
        <v/>
      </c>
      <c r="K162" s="19" t="inlineStr">
        <is>
          <t>2026-03</t>
        </is>
      </c>
    </row>
    <row r="163" ht="19" customHeight="1">
      <c r="A163" s="24" t="inlineStr">
        <is>
          <t>E162</t>
        </is>
      </c>
      <c r="B163" s="23" t="inlineStr">
        <is>
          <t>Employee_162</t>
        </is>
      </c>
      <c r="C163" s="24" t="inlineStr">
        <is>
          <t>Manager_B</t>
        </is>
      </c>
      <c r="D163" s="24" t="inlineStr">
        <is>
          <t>Finance</t>
        </is>
      </c>
      <c r="E163" s="25" t="n">
        <v>20510836</v>
      </c>
      <c r="F163" s="25" t="n">
        <v>2373083</v>
      </c>
      <c r="G163" s="25" t="n">
        <v>812471</v>
      </c>
      <c r="H163" s="26">
        <f>E163+F163-G163</f>
        <v/>
      </c>
      <c r="I163" s="27">
        <f>F163/E163</f>
        <v/>
      </c>
      <c r="J163" s="27">
        <f>G163/E163</f>
        <v/>
      </c>
      <c r="K163" s="24" t="inlineStr">
        <is>
          <t>2026-03</t>
        </is>
      </c>
    </row>
    <row r="164" ht="19" customHeight="1">
      <c r="A164" s="19" t="inlineStr">
        <is>
          <t>E163</t>
        </is>
      </c>
      <c r="B164" s="18" t="inlineStr">
        <is>
          <t>Employee_163</t>
        </is>
      </c>
      <c r="C164" s="19" t="inlineStr">
        <is>
          <t>Manager_D</t>
        </is>
      </c>
      <c r="D164" s="19" t="inlineStr">
        <is>
          <t>Finance</t>
        </is>
      </c>
      <c r="E164" s="20" t="n">
        <v>28061720</v>
      </c>
      <c r="F164" s="20" t="n">
        <v>439273</v>
      </c>
      <c r="G164" s="20" t="n">
        <v>1655128</v>
      </c>
      <c r="H164" s="21">
        <f>E164+F164-G164</f>
        <v/>
      </c>
      <c r="I164" s="22">
        <f>F164/E164</f>
        <v/>
      </c>
      <c r="J164" s="22">
        <f>G164/E164</f>
        <v/>
      </c>
      <c r="K164" s="19" t="inlineStr">
        <is>
          <t>2026-03</t>
        </is>
      </c>
    </row>
    <row r="165" ht="19" customHeight="1">
      <c r="A165" s="24" t="inlineStr">
        <is>
          <t>E164</t>
        </is>
      </c>
      <c r="B165" s="23" t="inlineStr">
        <is>
          <t>Employee_164</t>
        </is>
      </c>
      <c r="C165" s="24" t="inlineStr">
        <is>
          <t>Manager_C</t>
        </is>
      </c>
      <c r="D165" s="24" t="inlineStr">
        <is>
          <t>Sales</t>
        </is>
      </c>
      <c r="E165" s="25" t="n">
        <v>19062586</v>
      </c>
      <c r="F165" s="25" t="n">
        <v>792773</v>
      </c>
      <c r="G165" s="25" t="n">
        <v>1170133</v>
      </c>
      <c r="H165" s="26">
        <f>E165+F165-G165</f>
        <v/>
      </c>
      <c r="I165" s="27">
        <f>F165/E165</f>
        <v/>
      </c>
      <c r="J165" s="27">
        <f>G165/E165</f>
        <v/>
      </c>
      <c r="K165" s="24" t="inlineStr">
        <is>
          <t>2026-03</t>
        </is>
      </c>
    </row>
    <row r="166" ht="19" customHeight="1">
      <c r="A166" s="19" t="inlineStr">
        <is>
          <t>E165</t>
        </is>
      </c>
      <c r="B166" s="18" t="inlineStr">
        <is>
          <t>Employee_165</t>
        </is>
      </c>
      <c r="C166" s="19" t="inlineStr">
        <is>
          <t>Manager_D</t>
        </is>
      </c>
      <c r="D166" s="19" t="inlineStr">
        <is>
          <t>Finance</t>
        </is>
      </c>
      <c r="E166" s="20" t="n">
        <v>16455575</v>
      </c>
      <c r="F166" s="20" t="n">
        <v>1261422</v>
      </c>
      <c r="G166" s="20" t="n">
        <v>699110</v>
      </c>
      <c r="H166" s="21">
        <f>E166+F166-G166</f>
        <v/>
      </c>
      <c r="I166" s="22">
        <f>F166/E166</f>
        <v/>
      </c>
      <c r="J166" s="22">
        <f>G166/E166</f>
        <v/>
      </c>
      <c r="K166" s="19" t="inlineStr">
        <is>
          <t>2026-03</t>
        </is>
      </c>
    </row>
    <row r="167" ht="19" customHeight="1">
      <c r="A167" s="24" t="inlineStr">
        <is>
          <t>E166</t>
        </is>
      </c>
      <c r="B167" s="23" t="inlineStr">
        <is>
          <t>Employee_166</t>
        </is>
      </c>
      <c r="C167" s="24" t="inlineStr">
        <is>
          <t>Manager_A</t>
        </is>
      </c>
      <c r="D167" s="24" t="inlineStr">
        <is>
          <t>HR</t>
        </is>
      </c>
      <c r="E167" s="25" t="n">
        <v>19738037</v>
      </c>
      <c r="F167" s="25" t="n">
        <v>2602412</v>
      </c>
      <c r="G167" s="25" t="n">
        <v>1375846</v>
      </c>
      <c r="H167" s="26">
        <f>E167+F167-G167</f>
        <v/>
      </c>
      <c r="I167" s="27">
        <f>F167/E167</f>
        <v/>
      </c>
      <c r="J167" s="27">
        <f>G167/E167</f>
        <v/>
      </c>
      <c r="K167" s="24" t="inlineStr">
        <is>
          <t>2026-03</t>
        </is>
      </c>
    </row>
    <row r="168" ht="19" customHeight="1">
      <c r="A168" s="19" t="inlineStr">
        <is>
          <t>E167</t>
        </is>
      </c>
      <c r="B168" s="18" t="inlineStr">
        <is>
          <t>Employee_167</t>
        </is>
      </c>
      <c r="C168" s="19" t="inlineStr">
        <is>
          <t>Manager_D</t>
        </is>
      </c>
      <c r="D168" s="19" t="inlineStr">
        <is>
          <t>HR</t>
        </is>
      </c>
      <c r="E168" s="20" t="n">
        <v>27966270</v>
      </c>
      <c r="F168" s="20" t="n">
        <v>710674</v>
      </c>
      <c r="G168" s="20" t="n">
        <v>649240</v>
      </c>
      <c r="H168" s="21">
        <f>E168+F168-G168</f>
        <v/>
      </c>
      <c r="I168" s="22">
        <f>F168/E168</f>
        <v/>
      </c>
      <c r="J168" s="22">
        <f>G168/E168</f>
        <v/>
      </c>
      <c r="K168" s="19" t="inlineStr">
        <is>
          <t>2026-03</t>
        </is>
      </c>
    </row>
    <row r="169" ht="19" customHeight="1">
      <c r="A169" s="24" t="inlineStr">
        <is>
          <t>E168</t>
        </is>
      </c>
      <c r="B169" s="23" t="inlineStr">
        <is>
          <t>Employee_168</t>
        </is>
      </c>
      <c r="C169" s="24" t="inlineStr">
        <is>
          <t>Manager_D</t>
        </is>
      </c>
      <c r="D169" s="24" t="inlineStr">
        <is>
          <t>Finance</t>
        </is>
      </c>
      <c r="E169" s="25" t="n">
        <v>12288047</v>
      </c>
      <c r="F169" s="25" t="n">
        <v>4415707</v>
      </c>
      <c r="G169" s="25" t="n">
        <v>195985</v>
      </c>
      <c r="H169" s="26">
        <f>E169+F169-G169</f>
        <v/>
      </c>
      <c r="I169" s="27">
        <f>F169/E169</f>
        <v/>
      </c>
      <c r="J169" s="27">
        <f>G169/E169</f>
        <v/>
      </c>
      <c r="K169" s="24" t="inlineStr">
        <is>
          <t>2026-03</t>
        </is>
      </c>
    </row>
    <row r="170" ht="19" customHeight="1">
      <c r="A170" s="19" t="inlineStr">
        <is>
          <t>E169</t>
        </is>
      </c>
      <c r="B170" s="18" t="inlineStr">
        <is>
          <t>Employee_169</t>
        </is>
      </c>
      <c r="C170" s="19" t="inlineStr">
        <is>
          <t>Manager_D</t>
        </is>
      </c>
      <c r="D170" s="19" t="inlineStr">
        <is>
          <t>Finance</t>
        </is>
      </c>
      <c r="E170" s="20" t="n">
        <v>8611715</v>
      </c>
      <c r="F170" s="20" t="n">
        <v>3041689</v>
      </c>
      <c r="G170" s="20" t="n">
        <v>647739</v>
      </c>
      <c r="H170" s="21">
        <f>E170+F170-G170</f>
        <v/>
      </c>
      <c r="I170" s="22">
        <f>F170/E170</f>
        <v/>
      </c>
      <c r="J170" s="22">
        <f>G170/E170</f>
        <v/>
      </c>
      <c r="K170" s="19" t="inlineStr">
        <is>
          <t>2026-03</t>
        </is>
      </c>
    </row>
    <row r="171" ht="19" customHeight="1">
      <c r="A171" s="24" t="inlineStr">
        <is>
          <t>E170</t>
        </is>
      </c>
      <c r="B171" s="23" t="inlineStr">
        <is>
          <t>Employee_170</t>
        </is>
      </c>
      <c r="C171" s="24" t="inlineStr">
        <is>
          <t>Manager_B</t>
        </is>
      </c>
      <c r="D171" s="24" t="inlineStr">
        <is>
          <t>HR</t>
        </is>
      </c>
      <c r="E171" s="25" t="n">
        <v>19466634</v>
      </c>
      <c r="F171" s="25" t="n">
        <v>4079136</v>
      </c>
      <c r="G171" s="25" t="n">
        <v>402664</v>
      </c>
      <c r="H171" s="26">
        <f>E171+F171-G171</f>
        <v/>
      </c>
      <c r="I171" s="27">
        <f>F171/E171</f>
        <v/>
      </c>
      <c r="J171" s="27">
        <f>G171/E171</f>
        <v/>
      </c>
      <c r="K171" s="24" t="inlineStr">
        <is>
          <t>2026-03</t>
        </is>
      </c>
    </row>
    <row r="172" ht="19" customHeight="1">
      <c r="A172" s="19" t="inlineStr">
        <is>
          <t>E171</t>
        </is>
      </c>
      <c r="B172" s="18" t="inlineStr">
        <is>
          <t>Employee_171</t>
        </is>
      </c>
      <c r="C172" s="19" t="inlineStr">
        <is>
          <t>Manager_B</t>
        </is>
      </c>
      <c r="D172" s="19" t="inlineStr">
        <is>
          <t>HR</t>
        </is>
      </c>
      <c r="E172" s="20" t="n">
        <v>13199097</v>
      </c>
      <c r="F172" s="20" t="n">
        <v>647307</v>
      </c>
      <c r="G172" s="20" t="n">
        <v>620320</v>
      </c>
      <c r="H172" s="21">
        <f>E172+F172-G172</f>
        <v/>
      </c>
      <c r="I172" s="22">
        <f>F172/E172</f>
        <v/>
      </c>
      <c r="J172" s="22">
        <f>G172/E172</f>
        <v/>
      </c>
      <c r="K172" s="19" t="inlineStr">
        <is>
          <t>2026-03</t>
        </is>
      </c>
    </row>
    <row r="173" ht="19" customHeight="1">
      <c r="A173" s="24" t="inlineStr">
        <is>
          <t>E172</t>
        </is>
      </c>
      <c r="B173" s="23" t="inlineStr">
        <is>
          <t>Employee_172</t>
        </is>
      </c>
      <c r="C173" s="24" t="inlineStr">
        <is>
          <t>Manager_A</t>
        </is>
      </c>
      <c r="D173" s="24" t="inlineStr">
        <is>
          <t>Sales</t>
        </is>
      </c>
      <c r="E173" s="25" t="n">
        <v>19299937</v>
      </c>
      <c r="F173" s="25" t="n">
        <v>1099319</v>
      </c>
      <c r="G173" s="25" t="n">
        <v>1252516</v>
      </c>
      <c r="H173" s="26">
        <f>E173+F173-G173</f>
        <v/>
      </c>
      <c r="I173" s="27">
        <f>F173/E173</f>
        <v/>
      </c>
      <c r="J173" s="27">
        <f>G173/E173</f>
        <v/>
      </c>
      <c r="K173" s="24" t="inlineStr">
        <is>
          <t>2026-03</t>
        </is>
      </c>
    </row>
    <row r="174" ht="19" customHeight="1">
      <c r="A174" s="19" t="inlineStr">
        <is>
          <t>E173</t>
        </is>
      </c>
      <c r="B174" s="18" t="inlineStr">
        <is>
          <t>Employee_173</t>
        </is>
      </c>
      <c r="C174" s="19" t="inlineStr">
        <is>
          <t>Manager_D</t>
        </is>
      </c>
      <c r="D174" s="19" t="inlineStr">
        <is>
          <t>HR</t>
        </is>
      </c>
      <c r="E174" s="20" t="n">
        <v>13444113</v>
      </c>
      <c r="F174" s="20" t="n">
        <v>1517045</v>
      </c>
      <c r="G174" s="20" t="n">
        <v>1743456</v>
      </c>
      <c r="H174" s="21">
        <f>E174+F174-G174</f>
        <v/>
      </c>
      <c r="I174" s="22">
        <f>F174/E174</f>
        <v/>
      </c>
      <c r="J174" s="22">
        <f>G174/E174</f>
        <v/>
      </c>
      <c r="K174" s="19" t="inlineStr">
        <is>
          <t>2026-03</t>
        </is>
      </c>
    </row>
    <row r="175" ht="19" customHeight="1">
      <c r="A175" s="24" t="inlineStr">
        <is>
          <t>E174</t>
        </is>
      </c>
      <c r="B175" s="23" t="inlineStr">
        <is>
          <t>Employee_174</t>
        </is>
      </c>
      <c r="C175" s="24" t="inlineStr">
        <is>
          <t>Manager_B</t>
        </is>
      </c>
      <c r="D175" s="24" t="inlineStr">
        <is>
          <t>Operations</t>
        </is>
      </c>
      <c r="E175" s="25" t="n">
        <v>9466074</v>
      </c>
      <c r="F175" s="25" t="n">
        <v>3446531</v>
      </c>
      <c r="G175" s="25" t="n">
        <v>763991</v>
      </c>
      <c r="H175" s="26">
        <f>E175+F175-G175</f>
        <v/>
      </c>
      <c r="I175" s="27">
        <f>F175/E175</f>
        <v/>
      </c>
      <c r="J175" s="27">
        <f>G175/E175</f>
        <v/>
      </c>
      <c r="K175" s="24" t="inlineStr">
        <is>
          <t>2026-03</t>
        </is>
      </c>
    </row>
    <row r="176" ht="19" customHeight="1">
      <c r="A176" s="19" t="inlineStr">
        <is>
          <t>E175</t>
        </is>
      </c>
      <c r="B176" s="18" t="inlineStr">
        <is>
          <t>Employee_175</t>
        </is>
      </c>
      <c r="C176" s="19" t="inlineStr">
        <is>
          <t>Manager_B</t>
        </is>
      </c>
      <c r="D176" s="19" t="inlineStr">
        <is>
          <t>Operations</t>
        </is>
      </c>
      <c r="E176" s="20" t="n">
        <v>28488182</v>
      </c>
      <c r="F176" s="20" t="n">
        <v>2390148</v>
      </c>
      <c r="G176" s="20" t="n">
        <v>1577878</v>
      </c>
      <c r="H176" s="21">
        <f>E176+F176-G176</f>
        <v/>
      </c>
      <c r="I176" s="22">
        <f>F176/E176</f>
        <v/>
      </c>
      <c r="J176" s="22">
        <f>G176/E176</f>
        <v/>
      </c>
      <c r="K176" s="19" t="inlineStr">
        <is>
          <t>2026-03</t>
        </is>
      </c>
    </row>
    <row r="177" ht="19" customHeight="1">
      <c r="A177" s="24" t="inlineStr">
        <is>
          <t>E176</t>
        </is>
      </c>
      <c r="B177" s="23" t="inlineStr">
        <is>
          <t>Employee_176</t>
        </is>
      </c>
      <c r="C177" s="24" t="inlineStr">
        <is>
          <t>Manager_D</t>
        </is>
      </c>
      <c r="D177" s="24" t="inlineStr">
        <is>
          <t>HR</t>
        </is>
      </c>
      <c r="E177" s="25" t="n">
        <v>25918440</v>
      </c>
      <c r="F177" s="25" t="n">
        <v>2006290</v>
      </c>
      <c r="G177" s="25" t="n">
        <v>649001</v>
      </c>
      <c r="H177" s="26">
        <f>E177+F177-G177</f>
        <v/>
      </c>
      <c r="I177" s="27">
        <f>F177/E177</f>
        <v/>
      </c>
      <c r="J177" s="27">
        <f>G177/E177</f>
        <v/>
      </c>
      <c r="K177" s="24" t="inlineStr">
        <is>
          <t>2026-03</t>
        </is>
      </c>
    </row>
    <row r="178" ht="19" customHeight="1">
      <c r="A178" s="19" t="inlineStr">
        <is>
          <t>E177</t>
        </is>
      </c>
      <c r="B178" s="18" t="inlineStr">
        <is>
          <t>Employee_177</t>
        </is>
      </c>
      <c r="C178" s="19" t="inlineStr">
        <is>
          <t>Manager_D</t>
        </is>
      </c>
      <c r="D178" s="19" t="inlineStr">
        <is>
          <t>HR</t>
        </is>
      </c>
      <c r="E178" s="20" t="n">
        <v>20342694</v>
      </c>
      <c r="F178" s="20" t="n">
        <v>4785024</v>
      </c>
      <c r="G178" s="20" t="n">
        <v>923999</v>
      </c>
      <c r="H178" s="21">
        <f>E178+F178-G178</f>
        <v/>
      </c>
      <c r="I178" s="22">
        <f>F178/E178</f>
        <v/>
      </c>
      <c r="J178" s="22">
        <f>G178/E178</f>
        <v/>
      </c>
      <c r="K178" s="19" t="inlineStr">
        <is>
          <t>2026-03</t>
        </is>
      </c>
    </row>
    <row r="179" ht="19" customHeight="1">
      <c r="A179" s="24" t="inlineStr">
        <is>
          <t>E178</t>
        </is>
      </c>
      <c r="B179" s="23" t="inlineStr">
        <is>
          <t>Employee_178</t>
        </is>
      </c>
      <c r="C179" s="24" t="inlineStr">
        <is>
          <t>Manager_D</t>
        </is>
      </c>
      <c r="D179" s="24" t="inlineStr">
        <is>
          <t>Finance</t>
        </is>
      </c>
      <c r="E179" s="25" t="n">
        <v>20813512</v>
      </c>
      <c r="F179" s="25" t="n">
        <v>4218687</v>
      </c>
      <c r="G179" s="25" t="n">
        <v>1106163</v>
      </c>
      <c r="H179" s="26">
        <f>E179+F179-G179</f>
        <v/>
      </c>
      <c r="I179" s="27">
        <f>F179/E179</f>
        <v/>
      </c>
      <c r="J179" s="27">
        <f>G179/E179</f>
        <v/>
      </c>
      <c r="K179" s="24" t="inlineStr">
        <is>
          <t>2026-03</t>
        </is>
      </c>
    </row>
    <row r="180" ht="19" customHeight="1">
      <c r="A180" s="19" t="inlineStr">
        <is>
          <t>E179</t>
        </is>
      </c>
      <c r="B180" s="18" t="inlineStr">
        <is>
          <t>Employee_179</t>
        </is>
      </c>
      <c r="C180" s="19" t="inlineStr">
        <is>
          <t>Manager_D</t>
        </is>
      </c>
      <c r="D180" s="19" t="inlineStr">
        <is>
          <t>HR</t>
        </is>
      </c>
      <c r="E180" s="20" t="n">
        <v>14700743</v>
      </c>
      <c r="F180" s="20" t="n">
        <v>1160971</v>
      </c>
      <c r="G180" s="20" t="n">
        <v>1830817</v>
      </c>
      <c r="H180" s="21">
        <f>E180+F180-G180</f>
        <v/>
      </c>
      <c r="I180" s="22">
        <f>F180/E180</f>
        <v/>
      </c>
      <c r="J180" s="22">
        <f>G180/E180</f>
        <v/>
      </c>
      <c r="K180" s="19" t="inlineStr">
        <is>
          <t>2026-03</t>
        </is>
      </c>
    </row>
    <row r="181" ht="19" customHeight="1">
      <c r="A181" s="24" t="inlineStr">
        <is>
          <t>E180</t>
        </is>
      </c>
      <c r="B181" s="23" t="inlineStr">
        <is>
          <t>Employee_180</t>
        </is>
      </c>
      <c r="C181" s="24" t="inlineStr">
        <is>
          <t>Manager_C</t>
        </is>
      </c>
      <c r="D181" s="24" t="inlineStr">
        <is>
          <t>Sales</t>
        </is>
      </c>
      <c r="E181" s="25" t="n">
        <v>29514398</v>
      </c>
      <c r="F181" s="25" t="n">
        <v>4031486</v>
      </c>
      <c r="G181" s="25" t="n">
        <v>1833156</v>
      </c>
      <c r="H181" s="26">
        <f>E181+F181-G181</f>
        <v/>
      </c>
      <c r="I181" s="27">
        <f>F181/E181</f>
        <v/>
      </c>
      <c r="J181" s="27">
        <f>G181/E181</f>
        <v/>
      </c>
      <c r="K181" s="24" t="inlineStr">
        <is>
          <t>2026-03</t>
        </is>
      </c>
    </row>
    <row r="182" ht="19" customHeight="1">
      <c r="A182" s="19" t="inlineStr">
        <is>
          <t>E181</t>
        </is>
      </c>
      <c r="B182" s="18" t="inlineStr">
        <is>
          <t>Employee_181</t>
        </is>
      </c>
      <c r="C182" s="19" t="inlineStr">
        <is>
          <t>Manager_C</t>
        </is>
      </c>
      <c r="D182" s="19" t="inlineStr">
        <is>
          <t>Sales</t>
        </is>
      </c>
      <c r="E182" s="20" t="n">
        <v>25311046</v>
      </c>
      <c r="F182" s="20" t="n">
        <v>1045872</v>
      </c>
      <c r="G182" s="20" t="n">
        <v>597820</v>
      </c>
      <c r="H182" s="21">
        <f>E182+F182-G182</f>
        <v/>
      </c>
      <c r="I182" s="22">
        <f>F182/E182</f>
        <v/>
      </c>
      <c r="J182" s="22">
        <f>G182/E182</f>
        <v/>
      </c>
      <c r="K182" s="19" t="inlineStr">
        <is>
          <t>2026-03</t>
        </is>
      </c>
    </row>
    <row r="183" ht="19" customHeight="1">
      <c r="A183" s="24" t="inlineStr">
        <is>
          <t>E182</t>
        </is>
      </c>
      <c r="B183" s="23" t="inlineStr">
        <is>
          <t>Employee_182</t>
        </is>
      </c>
      <c r="C183" s="24" t="inlineStr">
        <is>
          <t>Manager_A</t>
        </is>
      </c>
      <c r="D183" s="24" t="inlineStr">
        <is>
          <t>HR</t>
        </is>
      </c>
      <c r="E183" s="25" t="n">
        <v>17153357</v>
      </c>
      <c r="F183" s="25" t="n">
        <v>3769162</v>
      </c>
      <c r="G183" s="25" t="n">
        <v>1898564</v>
      </c>
      <c r="H183" s="26">
        <f>E183+F183-G183</f>
        <v/>
      </c>
      <c r="I183" s="27">
        <f>F183/E183</f>
        <v/>
      </c>
      <c r="J183" s="27">
        <f>G183/E183</f>
        <v/>
      </c>
      <c r="K183" s="24" t="inlineStr">
        <is>
          <t>2026-03</t>
        </is>
      </c>
    </row>
    <row r="184" ht="19" customHeight="1">
      <c r="A184" s="19" t="inlineStr">
        <is>
          <t>E183</t>
        </is>
      </c>
      <c r="B184" s="18" t="inlineStr">
        <is>
          <t>Employee_183</t>
        </is>
      </c>
      <c r="C184" s="19" t="inlineStr">
        <is>
          <t>Manager_B</t>
        </is>
      </c>
      <c r="D184" s="19" t="inlineStr">
        <is>
          <t>Operations</t>
        </is>
      </c>
      <c r="E184" s="20" t="n">
        <v>11077396</v>
      </c>
      <c r="F184" s="20" t="n">
        <v>1862589</v>
      </c>
      <c r="G184" s="20" t="n">
        <v>1712750</v>
      </c>
      <c r="H184" s="21">
        <f>E184+F184-G184</f>
        <v/>
      </c>
      <c r="I184" s="22">
        <f>F184/E184</f>
        <v/>
      </c>
      <c r="J184" s="22">
        <f>G184/E184</f>
        <v/>
      </c>
      <c r="K184" s="19" t="inlineStr">
        <is>
          <t>2026-03</t>
        </is>
      </c>
    </row>
    <row r="185" ht="19" customHeight="1">
      <c r="A185" s="24" t="inlineStr">
        <is>
          <t>E184</t>
        </is>
      </c>
      <c r="B185" s="23" t="inlineStr">
        <is>
          <t>Employee_184</t>
        </is>
      </c>
      <c r="C185" s="24" t="inlineStr">
        <is>
          <t>Manager_D</t>
        </is>
      </c>
      <c r="D185" s="24" t="inlineStr">
        <is>
          <t>Finance</t>
        </is>
      </c>
      <c r="E185" s="25" t="n">
        <v>8894903</v>
      </c>
      <c r="F185" s="25" t="n">
        <v>3480407</v>
      </c>
      <c r="G185" s="25" t="n">
        <v>111687</v>
      </c>
      <c r="H185" s="26">
        <f>E185+F185-G185</f>
        <v/>
      </c>
      <c r="I185" s="27">
        <f>F185/E185</f>
        <v/>
      </c>
      <c r="J185" s="27">
        <f>G185/E185</f>
        <v/>
      </c>
      <c r="K185" s="24" t="inlineStr">
        <is>
          <t>2026-03</t>
        </is>
      </c>
    </row>
    <row r="186" ht="19" customHeight="1">
      <c r="A186" s="19" t="inlineStr">
        <is>
          <t>E185</t>
        </is>
      </c>
      <c r="B186" s="18" t="inlineStr">
        <is>
          <t>Employee_185</t>
        </is>
      </c>
      <c r="C186" s="19" t="inlineStr">
        <is>
          <t>Manager_D</t>
        </is>
      </c>
      <c r="D186" s="19" t="inlineStr">
        <is>
          <t>Finance</t>
        </is>
      </c>
      <c r="E186" s="20" t="n">
        <v>15911399</v>
      </c>
      <c r="F186" s="20" t="n">
        <v>3239396</v>
      </c>
      <c r="G186" s="20" t="n">
        <v>171139</v>
      </c>
      <c r="H186" s="21">
        <f>E186+F186-G186</f>
        <v/>
      </c>
      <c r="I186" s="22">
        <f>F186/E186</f>
        <v/>
      </c>
      <c r="J186" s="22">
        <f>G186/E186</f>
        <v/>
      </c>
      <c r="K186" s="19" t="inlineStr">
        <is>
          <t>2026-03</t>
        </is>
      </c>
    </row>
    <row r="187" ht="19" customHeight="1">
      <c r="A187" s="24" t="inlineStr">
        <is>
          <t>E186</t>
        </is>
      </c>
      <c r="B187" s="23" t="inlineStr">
        <is>
          <t>Employee_186</t>
        </is>
      </c>
      <c r="C187" s="24" t="inlineStr">
        <is>
          <t>Manager_C</t>
        </is>
      </c>
      <c r="D187" s="24" t="inlineStr">
        <is>
          <t>HR</t>
        </is>
      </c>
      <c r="E187" s="25" t="n">
        <v>8945817</v>
      </c>
      <c r="F187" s="25" t="n">
        <v>2673322</v>
      </c>
      <c r="G187" s="25" t="n">
        <v>1952083</v>
      </c>
      <c r="H187" s="26">
        <f>E187+F187-G187</f>
        <v/>
      </c>
      <c r="I187" s="27">
        <f>F187/E187</f>
        <v/>
      </c>
      <c r="J187" s="27">
        <f>G187/E187</f>
        <v/>
      </c>
      <c r="K187" s="24" t="inlineStr">
        <is>
          <t>2026-03</t>
        </is>
      </c>
    </row>
    <row r="188" ht="19" customHeight="1">
      <c r="A188" s="19" t="inlineStr">
        <is>
          <t>E187</t>
        </is>
      </c>
      <c r="B188" s="18" t="inlineStr">
        <is>
          <t>Employee_187</t>
        </is>
      </c>
      <c r="C188" s="19" t="inlineStr">
        <is>
          <t>Manager_A</t>
        </is>
      </c>
      <c r="D188" s="19" t="inlineStr">
        <is>
          <t>Finance</t>
        </is>
      </c>
      <c r="E188" s="20" t="n">
        <v>12900601</v>
      </c>
      <c r="F188" s="20" t="n">
        <v>1154269</v>
      </c>
      <c r="G188" s="20" t="n">
        <v>80327</v>
      </c>
      <c r="H188" s="21">
        <f>E188+F188-G188</f>
        <v/>
      </c>
      <c r="I188" s="22">
        <f>F188/E188</f>
        <v/>
      </c>
      <c r="J188" s="22">
        <f>G188/E188</f>
        <v/>
      </c>
      <c r="K188" s="19" t="inlineStr">
        <is>
          <t>2026-03</t>
        </is>
      </c>
    </row>
    <row r="189" ht="19" customHeight="1">
      <c r="A189" s="24" t="inlineStr">
        <is>
          <t>E188</t>
        </is>
      </c>
      <c r="B189" s="23" t="inlineStr">
        <is>
          <t>Employee_188</t>
        </is>
      </c>
      <c r="C189" s="24" t="inlineStr">
        <is>
          <t>Manager_C</t>
        </is>
      </c>
      <c r="D189" s="24" t="inlineStr">
        <is>
          <t>Operations</t>
        </is>
      </c>
      <c r="E189" s="25" t="n">
        <v>12657109</v>
      </c>
      <c r="F189" s="25" t="n">
        <v>3935180</v>
      </c>
      <c r="G189" s="25" t="n">
        <v>940785</v>
      </c>
      <c r="H189" s="26">
        <f>E189+F189-G189</f>
        <v/>
      </c>
      <c r="I189" s="27">
        <f>F189/E189</f>
        <v/>
      </c>
      <c r="J189" s="27">
        <f>G189/E189</f>
        <v/>
      </c>
      <c r="K189" s="24" t="inlineStr">
        <is>
          <t>2026-03</t>
        </is>
      </c>
    </row>
    <row r="190" ht="19" customHeight="1">
      <c r="A190" s="19" t="inlineStr">
        <is>
          <t>E189</t>
        </is>
      </c>
      <c r="B190" s="18" t="inlineStr">
        <is>
          <t>Employee_189</t>
        </is>
      </c>
      <c r="C190" s="19" t="inlineStr">
        <is>
          <t>Manager_A</t>
        </is>
      </c>
      <c r="D190" s="19" t="inlineStr">
        <is>
          <t>Sales</t>
        </is>
      </c>
      <c r="E190" s="20" t="n">
        <v>8637664</v>
      </c>
      <c r="F190" s="20" t="n">
        <v>2146845</v>
      </c>
      <c r="G190" s="20" t="n">
        <v>452260</v>
      </c>
      <c r="H190" s="21">
        <f>E190+F190-G190</f>
        <v/>
      </c>
      <c r="I190" s="22">
        <f>F190/E190</f>
        <v/>
      </c>
      <c r="J190" s="22">
        <f>G190/E190</f>
        <v/>
      </c>
      <c r="K190" s="19" t="inlineStr">
        <is>
          <t>2026-03</t>
        </is>
      </c>
    </row>
    <row r="191" ht="19" customHeight="1">
      <c r="A191" s="24" t="inlineStr">
        <is>
          <t>E190</t>
        </is>
      </c>
      <c r="B191" s="23" t="inlineStr">
        <is>
          <t>Employee_190</t>
        </is>
      </c>
      <c r="C191" s="24" t="inlineStr">
        <is>
          <t>Manager_B</t>
        </is>
      </c>
      <c r="D191" s="24" t="inlineStr">
        <is>
          <t>Operations</t>
        </is>
      </c>
      <c r="E191" s="25" t="n">
        <v>11730811</v>
      </c>
      <c r="F191" s="25" t="n">
        <v>2416771</v>
      </c>
      <c r="G191" s="25" t="n">
        <v>498367</v>
      </c>
      <c r="H191" s="26">
        <f>E191+F191-G191</f>
        <v/>
      </c>
      <c r="I191" s="27">
        <f>F191/E191</f>
        <v/>
      </c>
      <c r="J191" s="27">
        <f>G191/E191</f>
        <v/>
      </c>
      <c r="K191" s="24" t="inlineStr">
        <is>
          <t>2026-03</t>
        </is>
      </c>
    </row>
    <row r="192" ht="19" customHeight="1">
      <c r="A192" s="19" t="inlineStr">
        <is>
          <t>E191</t>
        </is>
      </c>
      <c r="B192" s="18" t="inlineStr">
        <is>
          <t>Employee_191</t>
        </is>
      </c>
      <c r="C192" s="19" t="inlineStr">
        <is>
          <t>Manager_C</t>
        </is>
      </c>
      <c r="D192" s="19" t="inlineStr">
        <is>
          <t>Sales</t>
        </is>
      </c>
      <c r="E192" s="20" t="n">
        <v>9602205</v>
      </c>
      <c r="F192" s="20" t="n">
        <v>2000175</v>
      </c>
      <c r="G192" s="20" t="n">
        <v>880437</v>
      </c>
      <c r="H192" s="21">
        <f>E192+F192-G192</f>
        <v/>
      </c>
      <c r="I192" s="22">
        <f>F192/E192</f>
        <v/>
      </c>
      <c r="J192" s="22">
        <f>G192/E192</f>
        <v/>
      </c>
      <c r="K192" s="19" t="inlineStr">
        <is>
          <t>2026-03</t>
        </is>
      </c>
    </row>
    <row r="193" ht="19" customHeight="1">
      <c r="A193" s="24" t="inlineStr">
        <is>
          <t>E192</t>
        </is>
      </c>
      <c r="B193" s="23" t="inlineStr">
        <is>
          <t>Employee_192</t>
        </is>
      </c>
      <c r="C193" s="24" t="inlineStr">
        <is>
          <t>Manager_D</t>
        </is>
      </c>
      <c r="D193" s="24" t="inlineStr">
        <is>
          <t>Sales</t>
        </is>
      </c>
      <c r="E193" s="25" t="n">
        <v>11719773</v>
      </c>
      <c r="F193" s="25" t="n">
        <v>4192871</v>
      </c>
      <c r="G193" s="25" t="n">
        <v>1251452</v>
      </c>
      <c r="H193" s="26">
        <f>E193+F193-G193</f>
        <v/>
      </c>
      <c r="I193" s="27">
        <f>F193/E193</f>
        <v/>
      </c>
      <c r="J193" s="27">
        <f>G193/E193</f>
        <v/>
      </c>
      <c r="K193" s="24" t="inlineStr">
        <is>
          <t>2026-03</t>
        </is>
      </c>
    </row>
    <row r="194" ht="19" customHeight="1">
      <c r="A194" s="19" t="inlineStr">
        <is>
          <t>E193</t>
        </is>
      </c>
      <c r="B194" s="18" t="inlineStr">
        <is>
          <t>Employee_193</t>
        </is>
      </c>
      <c r="C194" s="19" t="inlineStr">
        <is>
          <t>Manager_A</t>
        </is>
      </c>
      <c r="D194" s="19" t="inlineStr">
        <is>
          <t>HR</t>
        </is>
      </c>
      <c r="E194" s="20" t="n">
        <v>12817639</v>
      </c>
      <c r="F194" s="20" t="n">
        <v>2443366</v>
      </c>
      <c r="G194" s="20" t="n">
        <v>900179</v>
      </c>
      <c r="H194" s="21">
        <f>E194+F194-G194</f>
        <v/>
      </c>
      <c r="I194" s="22">
        <f>F194/E194</f>
        <v/>
      </c>
      <c r="J194" s="22">
        <f>G194/E194</f>
        <v/>
      </c>
      <c r="K194" s="19" t="inlineStr">
        <is>
          <t>2026-03</t>
        </is>
      </c>
    </row>
    <row r="195" ht="19" customHeight="1">
      <c r="A195" s="24" t="inlineStr">
        <is>
          <t>E194</t>
        </is>
      </c>
      <c r="B195" s="23" t="inlineStr">
        <is>
          <t>Employee_194</t>
        </is>
      </c>
      <c r="C195" s="24" t="inlineStr">
        <is>
          <t>Manager_A</t>
        </is>
      </c>
      <c r="D195" s="24" t="inlineStr">
        <is>
          <t>Finance</t>
        </is>
      </c>
      <c r="E195" s="25" t="n">
        <v>16071996</v>
      </c>
      <c r="F195" s="25" t="n">
        <v>4787074</v>
      </c>
      <c r="G195" s="25" t="n">
        <v>873605</v>
      </c>
      <c r="H195" s="26">
        <f>E195+F195-G195</f>
        <v/>
      </c>
      <c r="I195" s="27">
        <f>F195/E195</f>
        <v/>
      </c>
      <c r="J195" s="27">
        <f>G195/E195</f>
        <v/>
      </c>
      <c r="K195" s="24" t="inlineStr">
        <is>
          <t>2026-03</t>
        </is>
      </c>
    </row>
    <row r="196" ht="19" customHeight="1">
      <c r="A196" s="19" t="inlineStr">
        <is>
          <t>E195</t>
        </is>
      </c>
      <c r="B196" s="18" t="inlineStr">
        <is>
          <t>Employee_195</t>
        </is>
      </c>
      <c r="C196" s="19" t="inlineStr">
        <is>
          <t>Manager_B</t>
        </is>
      </c>
      <c r="D196" s="19" t="inlineStr">
        <is>
          <t>Sales</t>
        </is>
      </c>
      <c r="E196" s="20" t="n">
        <v>25565226</v>
      </c>
      <c r="F196" s="20" t="n">
        <v>3024963</v>
      </c>
      <c r="G196" s="20" t="n">
        <v>141933</v>
      </c>
      <c r="H196" s="21">
        <f>E196+F196-G196</f>
        <v/>
      </c>
      <c r="I196" s="22">
        <f>F196/E196</f>
        <v/>
      </c>
      <c r="J196" s="22">
        <f>G196/E196</f>
        <v/>
      </c>
      <c r="K196" s="19" t="inlineStr">
        <is>
          <t>2026-03</t>
        </is>
      </c>
    </row>
    <row r="197" ht="19" customHeight="1">
      <c r="A197" s="24" t="inlineStr">
        <is>
          <t>E196</t>
        </is>
      </c>
      <c r="B197" s="23" t="inlineStr">
        <is>
          <t>Employee_196</t>
        </is>
      </c>
      <c r="C197" s="24" t="inlineStr">
        <is>
          <t>Manager_A</t>
        </is>
      </c>
      <c r="D197" s="24" t="inlineStr">
        <is>
          <t>Operations</t>
        </is>
      </c>
      <c r="E197" s="25" t="n">
        <v>23775115</v>
      </c>
      <c r="F197" s="25" t="n">
        <v>365193</v>
      </c>
      <c r="G197" s="25" t="n">
        <v>1333098</v>
      </c>
      <c r="H197" s="26">
        <f>E197+F197-G197</f>
        <v/>
      </c>
      <c r="I197" s="27">
        <f>F197/E197</f>
        <v/>
      </c>
      <c r="J197" s="27">
        <f>G197/E197</f>
        <v/>
      </c>
      <c r="K197" s="24" t="inlineStr">
        <is>
          <t>2026-03</t>
        </is>
      </c>
    </row>
    <row r="198" ht="19" customHeight="1">
      <c r="A198" s="19" t="inlineStr">
        <is>
          <t>E197</t>
        </is>
      </c>
      <c r="B198" s="18" t="inlineStr">
        <is>
          <t>Employee_197</t>
        </is>
      </c>
      <c r="C198" s="19" t="inlineStr">
        <is>
          <t>Manager_D</t>
        </is>
      </c>
      <c r="D198" s="19" t="inlineStr">
        <is>
          <t>Finance</t>
        </is>
      </c>
      <c r="E198" s="20" t="n">
        <v>16511090</v>
      </c>
      <c r="F198" s="20" t="n">
        <v>136249</v>
      </c>
      <c r="G198" s="20" t="n">
        <v>748880</v>
      </c>
      <c r="H198" s="21">
        <f>E198+F198-G198</f>
        <v/>
      </c>
      <c r="I198" s="22">
        <f>F198/E198</f>
        <v/>
      </c>
      <c r="J198" s="22">
        <f>G198/E198</f>
        <v/>
      </c>
      <c r="K198" s="19" t="inlineStr">
        <is>
          <t>2026-03</t>
        </is>
      </c>
    </row>
    <row r="199" ht="19" customHeight="1">
      <c r="A199" s="24" t="inlineStr">
        <is>
          <t>E198</t>
        </is>
      </c>
      <c r="B199" s="23" t="inlineStr">
        <is>
          <t>Employee_198</t>
        </is>
      </c>
      <c r="C199" s="24" t="inlineStr">
        <is>
          <t>Manager_A</t>
        </is>
      </c>
      <c r="D199" s="24" t="inlineStr">
        <is>
          <t>Finance</t>
        </is>
      </c>
      <c r="E199" s="25" t="n">
        <v>16090843</v>
      </c>
      <c r="F199" s="25" t="n">
        <v>869595</v>
      </c>
      <c r="G199" s="25" t="n">
        <v>1617955</v>
      </c>
      <c r="H199" s="26">
        <f>E199+F199-G199</f>
        <v/>
      </c>
      <c r="I199" s="27">
        <f>F199/E199</f>
        <v/>
      </c>
      <c r="J199" s="27">
        <f>G199/E199</f>
        <v/>
      </c>
      <c r="K199" s="24" t="inlineStr">
        <is>
          <t>2026-03</t>
        </is>
      </c>
    </row>
    <row r="200" ht="19" customHeight="1">
      <c r="A200" s="19" t="inlineStr">
        <is>
          <t>E199</t>
        </is>
      </c>
      <c r="B200" s="18" t="inlineStr">
        <is>
          <t>Employee_199</t>
        </is>
      </c>
      <c r="C200" s="19" t="inlineStr">
        <is>
          <t>Manager_C</t>
        </is>
      </c>
      <c r="D200" s="19" t="inlineStr">
        <is>
          <t>HR</t>
        </is>
      </c>
      <c r="E200" s="20" t="n">
        <v>9487658</v>
      </c>
      <c r="F200" s="20" t="n">
        <v>2955298</v>
      </c>
      <c r="G200" s="20" t="n">
        <v>1145073</v>
      </c>
      <c r="H200" s="21">
        <f>E200+F200-G200</f>
        <v/>
      </c>
      <c r="I200" s="22">
        <f>F200/E200</f>
        <v/>
      </c>
      <c r="J200" s="22">
        <f>G200/E200</f>
        <v/>
      </c>
      <c r="K200" s="19" t="inlineStr">
        <is>
          <t>2026-03</t>
        </is>
      </c>
    </row>
    <row r="201" ht="19" customHeight="1">
      <c r="A201" s="24" t="inlineStr">
        <is>
          <t>E200</t>
        </is>
      </c>
      <c r="B201" s="23" t="inlineStr">
        <is>
          <t>Employee_200</t>
        </is>
      </c>
      <c r="C201" s="24" t="inlineStr">
        <is>
          <t>Manager_C</t>
        </is>
      </c>
      <c r="D201" s="24" t="inlineStr">
        <is>
          <t>HR</t>
        </is>
      </c>
      <c r="E201" s="25" t="n">
        <v>23590157</v>
      </c>
      <c r="F201" s="25" t="n">
        <v>4014210</v>
      </c>
      <c r="G201" s="25" t="n">
        <v>1324846</v>
      </c>
      <c r="H201" s="26">
        <f>E201+F201-G201</f>
        <v/>
      </c>
      <c r="I201" s="27">
        <f>F201/E201</f>
        <v/>
      </c>
      <c r="J201" s="27">
        <f>G201/E201</f>
        <v/>
      </c>
      <c r="K201" s="24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2026-09-09T14:46:58Z</dcterms:created>
  <dcterms:modified xsi:type="dcterms:W3CDTF">2026-09-09T14:46:58Z</dcterms:modified>
</cp:coreProperties>
</file>