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Manager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164" fontId="6" fillId="5" borderId="2" applyAlignment="1" pivotButton="0" quotePrefix="0" xfId="0">
      <alignment horizontal="right"/>
    </xf>
    <xf numFmtId="165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8" customWidth="1" min="5" max="5"/>
    <col width="18" customWidth="1" min="6" max="6"/>
    <col width="22" customWidth="1" min="7" max="7"/>
    <col width="16" customWidth="1" min="8" max="8"/>
    <col width="16" customWidth="1" min="9" max="9"/>
  </cols>
  <sheetData>
    <row r="1" ht="40" customHeight="1">
      <c r="A1" s="1" t="inlineStr">
        <is>
          <t>BÁO CÁO CHI TIẾT LƯƠNG &amp; VẬN HÀNH THÁNG 2026-03 — MANAGER_A</t>
        </is>
      </c>
    </row>
    <row r="2" ht="20" customHeight="1">
      <c r="A2" s="2" t="inlineStr">
        <is>
          <t>Bộ phận quản lý: Đa phòng ban | Nhân sự: 62 nhân viên | Xuất ngày: 09/09/2026</t>
        </is>
      </c>
    </row>
    <row r="3"/>
    <row r="4" ht="26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Bộ Phận</t>
        </is>
      </c>
      <c r="D4" s="3" t="inlineStr">
        <is>
          <t>Lương Cơ Bản (VNĐ)</t>
        </is>
      </c>
      <c r="E4" s="3" t="inlineStr">
        <is>
          <t>Thưởng (VNĐ)</t>
        </is>
      </c>
      <c r="F4" s="3" t="inlineStr">
        <is>
          <t>Phạt (VNĐ)</t>
        </is>
      </c>
      <c r="G4" s="3" t="inlineStr">
        <is>
          <t>Thực Nhận (VNĐ)</t>
        </is>
      </c>
      <c r="H4" s="3" t="inlineStr">
        <is>
          <t>% Thưởng/LCB</t>
        </is>
      </c>
      <c r="I4" s="3" t="inlineStr">
        <is>
          <t>% Phạt/LCB</t>
        </is>
      </c>
    </row>
    <row r="5" ht="20" customHeight="1">
      <c r="A5" s="4" t="inlineStr">
        <is>
          <t>E012</t>
        </is>
      </c>
      <c r="B5" s="5" t="inlineStr">
        <is>
          <t>Employee_12</t>
        </is>
      </c>
      <c r="C5" s="4" t="inlineStr">
        <is>
          <t>Finance</t>
        </is>
      </c>
      <c r="D5" s="6" t="n">
        <v>23750347</v>
      </c>
      <c r="E5" s="6" t="n">
        <v>4015745</v>
      </c>
      <c r="F5" s="6" t="n">
        <v>923730</v>
      </c>
      <c r="G5" s="7">
        <f>D5+E5-F5</f>
        <v/>
      </c>
      <c r="H5" s="8">
        <f>E5/D5</f>
        <v/>
      </c>
      <c r="I5" s="8">
        <f>F5/D5</f>
        <v/>
      </c>
    </row>
    <row r="6" ht="20" customHeight="1">
      <c r="A6" s="9" t="inlineStr">
        <is>
          <t>E032</t>
        </is>
      </c>
      <c r="B6" s="10" t="inlineStr">
        <is>
          <t>Employee_32</t>
        </is>
      </c>
      <c r="C6" s="9" t="inlineStr">
        <is>
          <t>Finance</t>
        </is>
      </c>
      <c r="D6" s="11" t="n">
        <v>27335640</v>
      </c>
      <c r="E6" s="11" t="n">
        <v>337487</v>
      </c>
      <c r="F6" s="11" t="n">
        <v>1600355</v>
      </c>
      <c r="G6" s="12">
        <f>D6+E6-F6</f>
        <v/>
      </c>
      <c r="H6" s="13">
        <f>E6/D6</f>
        <v/>
      </c>
      <c r="I6" s="13">
        <f>F6/D6</f>
        <v/>
      </c>
    </row>
    <row r="7" ht="20" customHeight="1">
      <c r="A7" s="4" t="inlineStr">
        <is>
          <t>E065</t>
        </is>
      </c>
      <c r="B7" s="5" t="inlineStr">
        <is>
          <t>Employee_65</t>
        </is>
      </c>
      <c r="C7" s="4" t="inlineStr">
        <is>
          <t>Finance</t>
        </is>
      </c>
      <c r="D7" s="6" t="n">
        <v>20028033</v>
      </c>
      <c r="E7" s="6" t="n">
        <v>3144394</v>
      </c>
      <c r="F7" s="6" t="n">
        <v>903215</v>
      </c>
      <c r="G7" s="7">
        <f>D7+E7-F7</f>
        <v/>
      </c>
      <c r="H7" s="8">
        <f>E7/D7</f>
        <v/>
      </c>
      <c r="I7" s="8">
        <f>F7/D7</f>
        <v/>
      </c>
    </row>
    <row r="8" ht="20" customHeight="1">
      <c r="A8" s="9" t="inlineStr">
        <is>
          <t>E079</t>
        </is>
      </c>
      <c r="B8" s="10" t="inlineStr">
        <is>
          <t>Employee_79</t>
        </is>
      </c>
      <c r="C8" s="9" t="inlineStr">
        <is>
          <t>Finance</t>
        </is>
      </c>
      <c r="D8" s="11" t="n">
        <v>22791571</v>
      </c>
      <c r="E8" s="11" t="n">
        <v>279881</v>
      </c>
      <c r="F8" s="11" t="n">
        <v>1215454</v>
      </c>
      <c r="G8" s="12">
        <f>D8+E8-F8</f>
        <v/>
      </c>
      <c r="H8" s="13">
        <f>E8/D8</f>
        <v/>
      </c>
      <c r="I8" s="13">
        <f>F8/D8</f>
        <v/>
      </c>
    </row>
    <row r="9" ht="20" customHeight="1">
      <c r="A9" s="4" t="inlineStr">
        <is>
          <t>E088</t>
        </is>
      </c>
      <c r="B9" s="5" t="inlineStr">
        <is>
          <t>Employee_88</t>
        </is>
      </c>
      <c r="C9" s="4" t="inlineStr">
        <is>
          <t>Finance</t>
        </is>
      </c>
      <c r="D9" s="6" t="n">
        <v>28470961</v>
      </c>
      <c r="E9" s="6" t="n">
        <v>1856962</v>
      </c>
      <c r="F9" s="6" t="n">
        <v>1358225</v>
      </c>
      <c r="G9" s="7">
        <f>D9+E9-F9</f>
        <v/>
      </c>
      <c r="H9" s="8">
        <f>E9/D9</f>
        <v/>
      </c>
      <c r="I9" s="8">
        <f>F9/D9</f>
        <v/>
      </c>
    </row>
    <row r="10" ht="20" customHeight="1">
      <c r="A10" s="9" t="inlineStr">
        <is>
          <t>E102</t>
        </is>
      </c>
      <c r="B10" s="10" t="inlineStr">
        <is>
          <t>Employee_102</t>
        </is>
      </c>
      <c r="C10" s="9" t="inlineStr">
        <is>
          <t>Finance</t>
        </is>
      </c>
      <c r="D10" s="11" t="n">
        <v>12854922</v>
      </c>
      <c r="E10" s="11" t="n">
        <v>1090453</v>
      </c>
      <c r="F10" s="11" t="n">
        <v>1132913</v>
      </c>
      <c r="G10" s="12">
        <f>D10+E10-F10</f>
        <v/>
      </c>
      <c r="H10" s="13">
        <f>E10/D10</f>
        <v/>
      </c>
      <c r="I10" s="13">
        <f>F10/D10</f>
        <v/>
      </c>
    </row>
    <row r="11" ht="20" customHeight="1">
      <c r="A11" s="4" t="inlineStr">
        <is>
          <t>E104</t>
        </is>
      </c>
      <c r="B11" s="5" t="inlineStr">
        <is>
          <t>Employee_104</t>
        </is>
      </c>
      <c r="C11" s="4" t="inlineStr">
        <is>
          <t>Finance</t>
        </is>
      </c>
      <c r="D11" s="6" t="n">
        <v>15983659</v>
      </c>
      <c r="E11" s="6" t="n">
        <v>4939656</v>
      </c>
      <c r="F11" s="6" t="n">
        <v>678997</v>
      </c>
      <c r="G11" s="7">
        <f>D11+E11-F11</f>
        <v/>
      </c>
      <c r="H11" s="8">
        <f>E11/D11</f>
        <v/>
      </c>
      <c r="I11" s="8">
        <f>F11/D11</f>
        <v/>
      </c>
    </row>
    <row r="12" ht="20" customHeight="1">
      <c r="A12" s="9" t="inlineStr">
        <is>
          <t>E108</t>
        </is>
      </c>
      <c r="B12" s="10" t="inlineStr">
        <is>
          <t>Employee_108</t>
        </is>
      </c>
      <c r="C12" s="9" t="inlineStr">
        <is>
          <t>Finance</t>
        </is>
      </c>
      <c r="D12" s="11" t="n">
        <v>23369356</v>
      </c>
      <c r="E12" s="11" t="n">
        <v>261310</v>
      </c>
      <c r="F12" s="11" t="n">
        <v>127560</v>
      </c>
      <c r="G12" s="12">
        <f>D12+E12-F12</f>
        <v/>
      </c>
      <c r="H12" s="13">
        <f>E12/D12</f>
        <v/>
      </c>
      <c r="I12" s="13">
        <f>F12/D12</f>
        <v/>
      </c>
    </row>
    <row r="13" ht="20" customHeight="1">
      <c r="A13" s="4" t="inlineStr">
        <is>
          <t>E116</t>
        </is>
      </c>
      <c r="B13" s="5" t="inlineStr">
        <is>
          <t>Employee_116</t>
        </is>
      </c>
      <c r="C13" s="4" t="inlineStr">
        <is>
          <t>Finance</t>
        </is>
      </c>
      <c r="D13" s="6" t="n">
        <v>22319823</v>
      </c>
      <c r="E13" s="6" t="n">
        <v>2621637</v>
      </c>
      <c r="F13" s="6" t="n">
        <v>1394832</v>
      </c>
      <c r="G13" s="7">
        <f>D13+E13-F13</f>
        <v/>
      </c>
      <c r="H13" s="8">
        <f>E13/D13</f>
        <v/>
      </c>
      <c r="I13" s="8">
        <f>F13/D13</f>
        <v/>
      </c>
    </row>
    <row r="14" ht="20" customHeight="1">
      <c r="A14" s="9" t="inlineStr">
        <is>
          <t>E123</t>
        </is>
      </c>
      <c r="B14" s="10" t="inlineStr">
        <is>
          <t>Employee_123</t>
        </is>
      </c>
      <c r="C14" s="9" t="inlineStr">
        <is>
          <t>Finance</t>
        </is>
      </c>
      <c r="D14" s="11" t="n">
        <v>26665172</v>
      </c>
      <c r="E14" s="11" t="n">
        <v>3083325</v>
      </c>
      <c r="F14" s="11" t="n">
        <v>240931</v>
      </c>
      <c r="G14" s="12">
        <f>D14+E14-F14</f>
        <v/>
      </c>
      <c r="H14" s="13">
        <f>E14/D14</f>
        <v/>
      </c>
      <c r="I14" s="13">
        <f>F14/D14</f>
        <v/>
      </c>
    </row>
    <row r="15" ht="20" customHeight="1">
      <c r="A15" s="4" t="inlineStr">
        <is>
          <t>E125</t>
        </is>
      </c>
      <c r="B15" s="5" t="inlineStr">
        <is>
          <t>Employee_125</t>
        </is>
      </c>
      <c r="C15" s="4" t="inlineStr">
        <is>
          <t>Finance</t>
        </is>
      </c>
      <c r="D15" s="6" t="n">
        <v>8971507</v>
      </c>
      <c r="E15" s="6" t="n">
        <v>1513439</v>
      </c>
      <c r="F15" s="6" t="n">
        <v>573089</v>
      </c>
      <c r="G15" s="7">
        <f>D15+E15-F15</f>
        <v/>
      </c>
      <c r="H15" s="8">
        <f>E15/D15</f>
        <v/>
      </c>
      <c r="I15" s="8">
        <f>F15/D15</f>
        <v/>
      </c>
    </row>
    <row r="16" ht="20" customHeight="1">
      <c r="A16" s="9" t="inlineStr">
        <is>
          <t>E132</t>
        </is>
      </c>
      <c r="B16" s="10" t="inlineStr">
        <is>
          <t>Employee_132</t>
        </is>
      </c>
      <c r="C16" s="9" t="inlineStr">
        <is>
          <t>Finance</t>
        </is>
      </c>
      <c r="D16" s="11" t="n">
        <v>22868404</v>
      </c>
      <c r="E16" s="11" t="n">
        <v>3556893</v>
      </c>
      <c r="F16" s="11" t="n">
        <v>1018506</v>
      </c>
      <c r="G16" s="12">
        <f>D16+E16-F16</f>
        <v/>
      </c>
      <c r="H16" s="13">
        <f>E16/D16</f>
        <v/>
      </c>
      <c r="I16" s="13">
        <f>F16/D16</f>
        <v/>
      </c>
    </row>
    <row r="17" ht="20" customHeight="1">
      <c r="A17" s="4" t="inlineStr">
        <is>
          <t>E134</t>
        </is>
      </c>
      <c r="B17" s="5" t="inlineStr">
        <is>
          <t>Employee_134</t>
        </is>
      </c>
      <c r="C17" s="4" t="inlineStr">
        <is>
          <t>Finance</t>
        </is>
      </c>
      <c r="D17" s="6" t="n">
        <v>22425507</v>
      </c>
      <c r="E17" s="6" t="n">
        <v>930210</v>
      </c>
      <c r="F17" s="6" t="n">
        <v>594010</v>
      </c>
      <c r="G17" s="7">
        <f>D17+E17-F17</f>
        <v/>
      </c>
      <c r="H17" s="8">
        <f>E17/D17</f>
        <v/>
      </c>
      <c r="I17" s="8">
        <f>F17/D17</f>
        <v/>
      </c>
    </row>
    <row r="18" ht="20" customHeight="1">
      <c r="A18" s="9" t="inlineStr">
        <is>
          <t>E155</t>
        </is>
      </c>
      <c r="B18" s="10" t="inlineStr">
        <is>
          <t>Employee_155</t>
        </is>
      </c>
      <c r="C18" s="9" t="inlineStr">
        <is>
          <t>Finance</t>
        </is>
      </c>
      <c r="D18" s="11" t="n">
        <v>23493506</v>
      </c>
      <c r="E18" s="11" t="n">
        <v>3790928</v>
      </c>
      <c r="F18" s="11" t="n">
        <v>78868</v>
      </c>
      <c r="G18" s="12">
        <f>D18+E18-F18</f>
        <v/>
      </c>
      <c r="H18" s="13">
        <f>E18/D18</f>
        <v/>
      </c>
      <c r="I18" s="13">
        <f>F18/D18</f>
        <v/>
      </c>
    </row>
    <row r="19" ht="20" customHeight="1">
      <c r="A19" s="4" t="inlineStr">
        <is>
          <t>E156</t>
        </is>
      </c>
      <c r="B19" s="5" t="inlineStr">
        <is>
          <t>Employee_156</t>
        </is>
      </c>
      <c r="C19" s="4" t="inlineStr">
        <is>
          <t>Finance</t>
        </is>
      </c>
      <c r="D19" s="6" t="n">
        <v>17632706</v>
      </c>
      <c r="E19" s="6" t="n">
        <v>643666</v>
      </c>
      <c r="F19" s="6" t="n">
        <v>1351963</v>
      </c>
      <c r="G19" s="7">
        <f>D19+E19-F19</f>
        <v/>
      </c>
      <c r="H19" s="8">
        <f>E19/D19</f>
        <v/>
      </c>
      <c r="I19" s="8">
        <f>F19/D19</f>
        <v/>
      </c>
    </row>
    <row r="20" ht="20" customHeight="1">
      <c r="A20" s="9" t="inlineStr">
        <is>
          <t>E187</t>
        </is>
      </c>
      <c r="B20" s="10" t="inlineStr">
        <is>
          <t>Employee_187</t>
        </is>
      </c>
      <c r="C20" s="9" t="inlineStr">
        <is>
          <t>Finance</t>
        </is>
      </c>
      <c r="D20" s="11" t="n">
        <v>12900601</v>
      </c>
      <c r="E20" s="11" t="n">
        <v>1154269</v>
      </c>
      <c r="F20" s="11" t="n">
        <v>80327</v>
      </c>
      <c r="G20" s="12">
        <f>D20+E20-F20</f>
        <v/>
      </c>
      <c r="H20" s="13">
        <f>E20/D20</f>
        <v/>
      </c>
      <c r="I20" s="13">
        <f>F20/D20</f>
        <v/>
      </c>
    </row>
    <row r="21" ht="20" customHeight="1">
      <c r="A21" s="4" t="inlineStr">
        <is>
          <t>E194</t>
        </is>
      </c>
      <c r="B21" s="5" t="inlineStr">
        <is>
          <t>Employee_194</t>
        </is>
      </c>
      <c r="C21" s="4" t="inlineStr">
        <is>
          <t>Finance</t>
        </is>
      </c>
      <c r="D21" s="6" t="n">
        <v>16071996</v>
      </c>
      <c r="E21" s="6" t="n">
        <v>4787074</v>
      </c>
      <c r="F21" s="6" t="n">
        <v>873605</v>
      </c>
      <c r="G21" s="7">
        <f>D21+E21-F21</f>
        <v/>
      </c>
      <c r="H21" s="8">
        <f>E21/D21</f>
        <v/>
      </c>
      <c r="I21" s="8">
        <f>F21/D21</f>
        <v/>
      </c>
    </row>
    <row r="22" ht="20" customHeight="1">
      <c r="A22" s="9" t="inlineStr">
        <is>
          <t>E198</t>
        </is>
      </c>
      <c r="B22" s="10" t="inlineStr">
        <is>
          <t>Employee_198</t>
        </is>
      </c>
      <c r="C22" s="9" t="inlineStr">
        <is>
          <t>Finance</t>
        </is>
      </c>
      <c r="D22" s="11" t="n">
        <v>16090843</v>
      </c>
      <c r="E22" s="11" t="n">
        <v>869595</v>
      </c>
      <c r="F22" s="11" t="n">
        <v>1617955</v>
      </c>
      <c r="G22" s="12">
        <f>D22+E22-F22</f>
        <v/>
      </c>
      <c r="H22" s="13">
        <f>E22/D22</f>
        <v/>
      </c>
      <c r="I22" s="13">
        <f>F22/D22</f>
        <v/>
      </c>
    </row>
    <row r="23" ht="20" customHeight="1">
      <c r="A23" s="4" t="inlineStr">
        <is>
          <t>E006</t>
        </is>
      </c>
      <c r="B23" s="5" t="inlineStr">
        <is>
          <t>Employee_6</t>
        </is>
      </c>
      <c r="C23" s="4" t="inlineStr">
        <is>
          <t>HR</t>
        </is>
      </c>
      <c r="D23" s="6" t="n">
        <v>18588032</v>
      </c>
      <c r="E23" s="6" t="n">
        <v>1002897</v>
      </c>
      <c r="F23" s="6" t="n">
        <v>1557934</v>
      </c>
      <c r="G23" s="7">
        <f>D23+E23-F23</f>
        <v/>
      </c>
      <c r="H23" s="8">
        <f>E23/D23</f>
        <v/>
      </c>
      <c r="I23" s="8">
        <f>F23/D23</f>
        <v/>
      </c>
    </row>
    <row r="24" ht="20" customHeight="1">
      <c r="A24" s="9" t="inlineStr">
        <is>
          <t>E020</t>
        </is>
      </c>
      <c r="B24" s="10" t="inlineStr">
        <is>
          <t>Employee_20</t>
        </is>
      </c>
      <c r="C24" s="9" t="inlineStr">
        <is>
          <t>HR</t>
        </is>
      </c>
      <c r="D24" s="11" t="n">
        <v>16048539</v>
      </c>
      <c r="E24" s="11" t="n">
        <v>1458053</v>
      </c>
      <c r="F24" s="11" t="n">
        <v>1157611</v>
      </c>
      <c r="G24" s="12">
        <f>D24+E24-F24</f>
        <v/>
      </c>
      <c r="H24" s="13">
        <f>E24/D24</f>
        <v/>
      </c>
      <c r="I24" s="13">
        <f>F24/D24</f>
        <v/>
      </c>
    </row>
    <row r="25" ht="20" customHeight="1">
      <c r="A25" s="4" t="inlineStr">
        <is>
          <t>E021</t>
        </is>
      </c>
      <c r="B25" s="5" t="inlineStr">
        <is>
          <t>Employee_21</t>
        </is>
      </c>
      <c r="C25" s="4" t="inlineStr">
        <is>
          <t>HR</t>
        </is>
      </c>
      <c r="D25" s="6" t="n">
        <v>8089782</v>
      </c>
      <c r="E25" s="6" t="n">
        <v>3426893</v>
      </c>
      <c r="F25" s="6" t="n">
        <v>944774</v>
      </c>
      <c r="G25" s="7">
        <f>D25+E25-F25</f>
        <v/>
      </c>
      <c r="H25" s="8">
        <f>E25/D25</f>
        <v/>
      </c>
      <c r="I25" s="8">
        <f>F25/D25</f>
        <v/>
      </c>
    </row>
    <row r="26" ht="20" customHeight="1">
      <c r="A26" s="9" t="inlineStr">
        <is>
          <t>E026</t>
        </is>
      </c>
      <c r="B26" s="10" t="inlineStr">
        <is>
          <t>Employee_26</t>
        </is>
      </c>
      <c r="C26" s="9" t="inlineStr">
        <is>
          <t>HR</t>
        </is>
      </c>
      <c r="D26" s="11" t="n">
        <v>18321739</v>
      </c>
      <c r="E26" s="11" t="n">
        <v>4991591</v>
      </c>
      <c r="F26" s="11" t="n">
        <v>1570678</v>
      </c>
      <c r="G26" s="12">
        <f>D26+E26-F26</f>
        <v/>
      </c>
      <c r="H26" s="13">
        <f>E26/D26</f>
        <v/>
      </c>
      <c r="I26" s="13">
        <f>F26/D26</f>
        <v/>
      </c>
    </row>
    <row r="27" ht="20" customHeight="1">
      <c r="A27" s="4" t="inlineStr">
        <is>
          <t>E031</t>
        </is>
      </c>
      <c r="B27" s="5" t="inlineStr">
        <is>
          <t>Employee_31</t>
        </is>
      </c>
      <c r="C27" s="4" t="inlineStr">
        <is>
          <t>HR</t>
        </is>
      </c>
      <c r="D27" s="6" t="n">
        <v>27300479</v>
      </c>
      <c r="E27" s="6" t="n">
        <v>4925144</v>
      </c>
      <c r="F27" s="6" t="n">
        <v>1993943</v>
      </c>
      <c r="G27" s="7">
        <f>D27+E27-F27</f>
        <v/>
      </c>
      <c r="H27" s="8">
        <f>E27/D27</f>
        <v/>
      </c>
      <c r="I27" s="8">
        <f>F27/D27</f>
        <v/>
      </c>
    </row>
    <row r="28" ht="20" customHeight="1">
      <c r="A28" s="9" t="inlineStr">
        <is>
          <t>E042</t>
        </is>
      </c>
      <c r="B28" s="10" t="inlineStr">
        <is>
          <t>Employee_42</t>
        </is>
      </c>
      <c r="C28" s="9" t="inlineStr">
        <is>
          <t>HR</t>
        </is>
      </c>
      <c r="D28" s="11" t="n">
        <v>16960920</v>
      </c>
      <c r="E28" s="11" t="n">
        <v>4607188</v>
      </c>
      <c r="F28" s="11" t="n">
        <v>274754</v>
      </c>
      <c r="G28" s="12">
        <f>D28+E28-F28</f>
        <v/>
      </c>
      <c r="H28" s="13">
        <f>E28/D28</f>
        <v/>
      </c>
      <c r="I28" s="13">
        <f>F28/D28</f>
        <v/>
      </c>
    </row>
    <row r="29" ht="20" customHeight="1">
      <c r="A29" s="4" t="inlineStr">
        <is>
          <t>E046</t>
        </is>
      </c>
      <c r="B29" s="5" t="inlineStr">
        <is>
          <t>Employee_46</t>
        </is>
      </c>
      <c r="C29" s="4" t="inlineStr">
        <is>
          <t>HR</t>
        </is>
      </c>
      <c r="D29" s="6" t="n">
        <v>24722706</v>
      </c>
      <c r="E29" s="6" t="n">
        <v>2448312</v>
      </c>
      <c r="F29" s="6" t="n">
        <v>1067181</v>
      </c>
      <c r="G29" s="7">
        <f>D29+E29-F29</f>
        <v/>
      </c>
      <c r="H29" s="8">
        <f>E29/D29</f>
        <v/>
      </c>
      <c r="I29" s="8">
        <f>F29/D29</f>
        <v/>
      </c>
    </row>
    <row r="30" ht="20" customHeight="1">
      <c r="A30" s="9" t="inlineStr">
        <is>
          <t>E056</t>
        </is>
      </c>
      <c r="B30" s="10" t="inlineStr">
        <is>
          <t>Employee_56</t>
        </is>
      </c>
      <c r="C30" s="9" t="inlineStr">
        <is>
          <t>HR</t>
        </is>
      </c>
      <c r="D30" s="11" t="n">
        <v>24854094</v>
      </c>
      <c r="E30" s="11" t="n">
        <v>4950792</v>
      </c>
      <c r="F30" s="11" t="n">
        <v>696243</v>
      </c>
      <c r="G30" s="12">
        <f>D30+E30-F30</f>
        <v/>
      </c>
      <c r="H30" s="13">
        <f>E30/D30</f>
        <v/>
      </c>
      <c r="I30" s="13">
        <f>F30/D30</f>
        <v/>
      </c>
    </row>
    <row r="31" ht="20" customHeight="1">
      <c r="A31" s="4" t="inlineStr">
        <is>
          <t>E062</t>
        </is>
      </c>
      <c r="B31" s="5" t="inlineStr">
        <is>
          <t>Employee_62</t>
        </is>
      </c>
      <c r="C31" s="4" t="inlineStr">
        <is>
          <t>HR</t>
        </is>
      </c>
      <c r="D31" s="6" t="n">
        <v>29178249</v>
      </c>
      <c r="E31" s="6" t="n">
        <v>2410709</v>
      </c>
      <c r="F31" s="6" t="n">
        <v>477073</v>
      </c>
      <c r="G31" s="7">
        <f>D31+E31-F31</f>
        <v/>
      </c>
      <c r="H31" s="8">
        <f>E31/D31</f>
        <v/>
      </c>
      <c r="I31" s="8">
        <f>F31/D31</f>
        <v/>
      </c>
    </row>
    <row r="32" ht="20" customHeight="1">
      <c r="A32" s="9" t="inlineStr">
        <is>
          <t>E084</t>
        </is>
      </c>
      <c r="B32" s="10" t="inlineStr">
        <is>
          <t>Employee_84</t>
        </is>
      </c>
      <c r="C32" s="9" t="inlineStr">
        <is>
          <t>HR</t>
        </is>
      </c>
      <c r="D32" s="11" t="n">
        <v>15570372</v>
      </c>
      <c r="E32" s="11" t="n">
        <v>3333729</v>
      </c>
      <c r="F32" s="11" t="n">
        <v>1773654</v>
      </c>
      <c r="G32" s="12">
        <f>D32+E32-F32</f>
        <v/>
      </c>
      <c r="H32" s="13">
        <f>E32/D32</f>
        <v/>
      </c>
      <c r="I32" s="13">
        <f>F32/D32</f>
        <v/>
      </c>
    </row>
    <row r="33" ht="20" customHeight="1">
      <c r="A33" s="4" t="inlineStr">
        <is>
          <t>E105</t>
        </is>
      </c>
      <c r="B33" s="5" t="inlineStr">
        <is>
          <t>Employee_105</t>
        </is>
      </c>
      <c r="C33" s="4" t="inlineStr">
        <is>
          <t>HR</t>
        </is>
      </c>
      <c r="D33" s="6" t="n">
        <v>16904256</v>
      </c>
      <c r="E33" s="6" t="n">
        <v>439554</v>
      </c>
      <c r="F33" s="6" t="n">
        <v>265831</v>
      </c>
      <c r="G33" s="7">
        <f>D33+E33-F33</f>
        <v/>
      </c>
      <c r="H33" s="8">
        <f>E33/D33</f>
        <v/>
      </c>
      <c r="I33" s="8">
        <f>F33/D33</f>
        <v/>
      </c>
    </row>
    <row r="34" ht="20" customHeight="1">
      <c r="A34" s="9" t="inlineStr">
        <is>
          <t>E122</t>
        </is>
      </c>
      <c r="B34" s="10" t="inlineStr">
        <is>
          <t>Employee_122</t>
        </is>
      </c>
      <c r="C34" s="9" t="inlineStr">
        <is>
          <t>HR</t>
        </is>
      </c>
      <c r="D34" s="11" t="n">
        <v>13191883</v>
      </c>
      <c r="E34" s="11" t="n">
        <v>4044897</v>
      </c>
      <c r="F34" s="11" t="n">
        <v>470275</v>
      </c>
      <c r="G34" s="12">
        <f>D34+E34-F34</f>
        <v/>
      </c>
      <c r="H34" s="13">
        <f>E34/D34</f>
        <v/>
      </c>
      <c r="I34" s="13">
        <f>F34/D34</f>
        <v/>
      </c>
    </row>
    <row r="35" ht="20" customHeight="1">
      <c r="A35" s="4" t="inlineStr">
        <is>
          <t>E131</t>
        </is>
      </c>
      <c r="B35" s="5" t="inlineStr">
        <is>
          <t>Employee_131</t>
        </is>
      </c>
      <c r="C35" s="4" t="inlineStr">
        <is>
          <t>HR</t>
        </is>
      </c>
      <c r="D35" s="6" t="n">
        <v>13281799</v>
      </c>
      <c r="E35" s="6" t="n">
        <v>417438</v>
      </c>
      <c r="F35" s="6" t="n">
        <v>1413414</v>
      </c>
      <c r="G35" s="7">
        <f>D35+E35-F35</f>
        <v/>
      </c>
      <c r="H35" s="8">
        <f>E35/D35</f>
        <v/>
      </c>
      <c r="I35" s="8">
        <f>F35/D35</f>
        <v/>
      </c>
    </row>
    <row r="36" ht="20" customHeight="1">
      <c r="A36" s="9" t="inlineStr">
        <is>
          <t>E145</t>
        </is>
      </c>
      <c r="B36" s="10" t="inlineStr">
        <is>
          <t>Employee_145</t>
        </is>
      </c>
      <c r="C36" s="9" t="inlineStr">
        <is>
          <t>HR</t>
        </is>
      </c>
      <c r="D36" s="11" t="n">
        <v>22618878</v>
      </c>
      <c r="E36" s="11" t="n">
        <v>4939810</v>
      </c>
      <c r="F36" s="11" t="n">
        <v>839804</v>
      </c>
      <c r="G36" s="12">
        <f>D36+E36-F36</f>
        <v/>
      </c>
      <c r="H36" s="13">
        <f>E36/D36</f>
        <v/>
      </c>
      <c r="I36" s="13">
        <f>F36/D36</f>
        <v/>
      </c>
    </row>
    <row r="37" ht="20" customHeight="1">
      <c r="A37" s="4" t="inlineStr">
        <is>
          <t>E148</t>
        </is>
      </c>
      <c r="B37" s="5" t="inlineStr">
        <is>
          <t>Employee_148</t>
        </is>
      </c>
      <c r="C37" s="4" t="inlineStr">
        <is>
          <t>HR</t>
        </is>
      </c>
      <c r="D37" s="6" t="n">
        <v>19723088</v>
      </c>
      <c r="E37" s="6" t="n">
        <v>2945238</v>
      </c>
      <c r="F37" s="6" t="n">
        <v>1525424</v>
      </c>
      <c r="G37" s="7">
        <f>D37+E37-F37</f>
        <v/>
      </c>
      <c r="H37" s="8">
        <f>E37/D37</f>
        <v/>
      </c>
      <c r="I37" s="8">
        <f>F37/D37</f>
        <v/>
      </c>
    </row>
    <row r="38" ht="20" customHeight="1">
      <c r="A38" s="9" t="inlineStr">
        <is>
          <t>E151</t>
        </is>
      </c>
      <c r="B38" s="10" t="inlineStr">
        <is>
          <t>Employee_151</t>
        </is>
      </c>
      <c r="C38" s="9" t="inlineStr">
        <is>
          <t>HR</t>
        </is>
      </c>
      <c r="D38" s="11" t="n">
        <v>29070464</v>
      </c>
      <c r="E38" s="11" t="n">
        <v>4144954</v>
      </c>
      <c r="F38" s="11" t="n">
        <v>972980</v>
      </c>
      <c r="G38" s="12">
        <f>D38+E38-F38</f>
        <v/>
      </c>
      <c r="H38" s="13">
        <f>E38/D38</f>
        <v/>
      </c>
      <c r="I38" s="13">
        <f>F38/D38</f>
        <v/>
      </c>
    </row>
    <row r="39" ht="20" customHeight="1">
      <c r="A39" s="4" t="inlineStr">
        <is>
          <t>E166</t>
        </is>
      </c>
      <c r="B39" s="5" t="inlineStr">
        <is>
          <t>Employee_166</t>
        </is>
      </c>
      <c r="C39" s="4" t="inlineStr">
        <is>
          <t>HR</t>
        </is>
      </c>
      <c r="D39" s="6" t="n">
        <v>19738037</v>
      </c>
      <c r="E39" s="6" t="n">
        <v>2602412</v>
      </c>
      <c r="F39" s="6" t="n">
        <v>1375846</v>
      </c>
      <c r="G39" s="7">
        <f>D39+E39-F39</f>
        <v/>
      </c>
      <c r="H39" s="8">
        <f>E39/D39</f>
        <v/>
      </c>
      <c r="I39" s="8">
        <f>F39/D39</f>
        <v/>
      </c>
    </row>
    <row r="40" ht="20" customHeight="1">
      <c r="A40" s="9" t="inlineStr">
        <is>
          <t>E182</t>
        </is>
      </c>
      <c r="B40" s="10" t="inlineStr">
        <is>
          <t>Employee_182</t>
        </is>
      </c>
      <c r="C40" s="9" t="inlineStr">
        <is>
          <t>HR</t>
        </is>
      </c>
      <c r="D40" s="11" t="n">
        <v>17153357</v>
      </c>
      <c r="E40" s="11" t="n">
        <v>3769162</v>
      </c>
      <c r="F40" s="11" t="n">
        <v>1898564</v>
      </c>
      <c r="G40" s="12">
        <f>D40+E40-F40</f>
        <v/>
      </c>
      <c r="H40" s="13">
        <f>E40/D40</f>
        <v/>
      </c>
      <c r="I40" s="13">
        <f>F40/D40</f>
        <v/>
      </c>
    </row>
    <row r="41" ht="20" customHeight="1">
      <c r="A41" s="4" t="inlineStr">
        <is>
          <t>E193</t>
        </is>
      </c>
      <c r="B41" s="5" t="inlineStr">
        <is>
          <t>Employee_193</t>
        </is>
      </c>
      <c r="C41" s="4" t="inlineStr">
        <is>
          <t>HR</t>
        </is>
      </c>
      <c r="D41" s="6" t="n">
        <v>12817639</v>
      </c>
      <c r="E41" s="6" t="n">
        <v>2443366</v>
      </c>
      <c r="F41" s="6" t="n">
        <v>900179</v>
      </c>
      <c r="G41" s="7">
        <f>D41+E41-F41</f>
        <v/>
      </c>
      <c r="H41" s="8">
        <f>E41/D41</f>
        <v/>
      </c>
      <c r="I41" s="8">
        <f>F41/D41</f>
        <v/>
      </c>
    </row>
    <row r="42" ht="20" customHeight="1">
      <c r="A42" s="9" t="inlineStr">
        <is>
          <t>E038</t>
        </is>
      </c>
      <c r="B42" s="10" t="inlineStr">
        <is>
          <t>Employee_38</t>
        </is>
      </c>
      <c r="C42" s="9" t="inlineStr">
        <is>
          <t>Operations</t>
        </is>
      </c>
      <c r="D42" s="11" t="n">
        <v>10954796</v>
      </c>
      <c r="E42" s="11" t="n">
        <v>2638361</v>
      </c>
      <c r="F42" s="11" t="n">
        <v>529318</v>
      </c>
      <c r="G42" s="12">
        <f>D42+E42-F42</f>
        <v/>
      </c>
      <c r="H42" s="13">
        <f>E42/D42</f>
        <v/>
      </c>
      <c r="I42" s="13">
        <f>F42/D42</f>
        <v/>
      </c>
    </row>
    <row r="43" ht="20" customHeight="1">
      <c r="A43" s="4" t="inlineStr">
        <is>
          <t>E040</t>
        </is>
      </c>
      <c r="B43" s="5" t="inlineStr">
        <is>
          <t>Employee_40</t>
        </is>
      </c>
      <c r="C43" s="4" t="inlineStr">
        <is>
          <t>Operations</t>
        </is>
      </c>
      <c r="D43" s="6" t="n">
        <v>21866287</v>
      </c>
      <c r="E43" s="6" t="n">
        <v>454696</v>
      </c>
      <c r="F43" s="6" t="n">
        <v>393389</v>
      </c>
      <c r="G43" s="7">
        <f>D43+E43-F43</f>
        <v/>
      </c>
      <c r="H43" s="8">
        <f>E43/D43</f>
        <v/>
      </c>
      <c r="I43" s="8">
        <f>F43/D43</f>
        <v/>
      </c>
    </row>
    <row r="44" ht="20" customHeight="1">
      <c r="A44" s="9" t="inlineStr">
        <is>
          <t>E057</t>
        </is>
      </c>
      <c r="B44" s="10" t="inlineStr">
        <is>
          <t>Employee_57</t>
        </is>
      </c>
      <c r="C44" s="9" t="inlineStr">
        <is>
          <t>Operations</t>
        </is>
      </c>
      <c r="D44" s="11" t="n">
        <v>11345769</v>
      </c>
      <c r="E44" s="11" t="n">
        <v>4411997</v>
      </c>
      <c r="F44" s="11" t="n">
        <v>1909334</v>
      </c>
      <c r="G44" s="12">
        <f>D44+E44-F44</f>
        <v/>
      </c>
      <c r="H44" s="13">
        <f>E44/D44</f>
        <v/>
      </c>
      <c r="I44" s="13">
        <f>F44/D44</f>
        <v/>
      </c>
    </row>
    <row r="45" ht="20" customHeight="1">
      <c r="A45" s="4" t="inlineStr">
        <is>
          <t>E063</t>
        </is>
      </c>
      <c r="B45" s="5" t="inlineStr">
        <is>
          <t>Employee_63</t>
        </is>
      </c>
      <c r="C45" s="4" t="inlineStr">
        <is>
          <t>Operations</t>
        </is>
      </c>
      <c r="D45" s="6" t="n">
        <v>11303203</v>
      </c>
      <c r="E45" s="6" t="n">
        <v>843115</v>
      </c>
      <c r="F45" s="6" t="n">
        <v>930461</v>
      </c>
      <c r="G45" s="7">
        <f>D45+E45-F45</f>
        <v/>
      </c>
      <c r="H45" s="8">
        <f>E45/D45</f>
        <v/>
      </c>
      <c r="I45" s="8">
        <f>F45/D45</f>
        <v/>
      </c>
    </row>
    <row r="46" ht="20" customHeight="1">
      <c r="A46" s="9" t="inlineStr">
        <is>
          <t>E086</t>
        </is>
      </c>
      <c r="B46" s="10" t="inlineStr">
        <is>
          <t>Employee_86</t>
        </is>
      </c>
      <c r="C46" s="9" t="inlineStr">
        <is>
          <t>Operations</t>
        </is>
      </c>
      <c r="D46" s="11" t="n">
        <v>20367682</v>
      </c>
      <c r="E46" s="11" t="n">
        <v>2199169</v>
      </c>
      <c r="F46" s="11" t="n">
        <v>1225911</v>
      </c>
      <c r="G46" s="12">
        <f>D46+E46-F46</f>
        <v/>
      </c>
      <c r="H46" s="13">
        <f>E46/D46</f>
        <v/>
      </c>
      <c r="I46" s="13">
        <f>F46/D46</f>
        <v/>
      </c>
    </row>
    <row r="47" ht="20" customHeight="1">
      <c r="A47" s="4" t="inlineStr">
        <is>
          <t>E089</t>
        </is>
      </c>
      <c r="B47" s="5" t="inlineStr">
        <is>
          <t>Employee_89</t>
        </is>
      </c>
      <c r="C47" s="4" t="inlineStr">
        <is>
          <t>Operations</t>
        </is>
      </c>
      <c r="D47" s="6" t="n">
        <v>18139819</v>
      </c>
      <c r="E47" s="6" t="n">
        <v>3425033</v>
      </c>
      <c r="F47" s="6" t="n">
        <v>244687</v>
      </c>
      <c r="G47" s="7">
        <f>D47+E47-F47</f>
        <v/>
      </c>
      <c r="H47" s="8">
        <f>E47/D47</f>
        <v/>
      </c>
      <c r="I47" s="8">
        <f>F47/D47</f>
        <v/>
      </c>
    </row>
    <row r="48" ht="20" customHeight="1">
      <c r="A48" s="9" t="inlineStr">
        <is>
          <t>E098</t>
        </is>
      </c>
      <c r="B48" s="10" t="inlineStr">
        <is>
          <t>Employee_98</t>
        </is>
      </c>
      <c r="C48" s="9" t="inlineStr">
        <is>
          <t>Operations</t>
        </is>
      </c>
      <c r="D48" s="11" t="n">
        <v>11076049</v>
      </c>
      <c r="E48" s="11" t="n">
        <v>1779272</v>
      </c>
      <c r="F48" s="11" t="n">
        <v>1345751</v>
      </c>
      <c r="G48" s="12">
        <f>D48+E48-F48</f>
        <v/>
      </c>
      <c r="H48" s="13">
        <f>E48/D48</f>
        <v/>
      </c>
      <c r="I48" s="13">
        <f>F48/D48</f>
        <v/>
      </c>
    </row>
    <row r="49" ht="20" customHeight="1">
      <c r="A49" s="4" t="inlineStr">
        <is>
          <t>E141</t>
        </is>
      </c>
      <c r="B49" s="5" t="inlineStr">
        <is>
          <t>Employee_141</t>
        </is>
      </c>
      <c r="C49" s="4" t="inlineStr">
        <is>
          <t>Operations</t>
        </is>
      </c>
      <c r="D49" s="6" t="n">
        <v>10612635</v>
      </c>
      <c r="E49" s="6" t="n">
        <v>2626142</v>
      </c>
      <c r="F49" s="6" t="n">
        <v>1207454</v>
      </c>
      <c r="G49" s="7">
        <f>D49+E49-F49</f>
        <v/>
      </c>
      <c r="H49" s="8">
        <f>E49/D49</f>
        <v/>
      </c>
      <c r="I49" s="8">
        <f>F49/D49</f>
        <v/>
      </c>
    </row>
    <row r="50" ht="20" customHeight="1">
      <c r="A50" s="9" t="inlineStr">
        <is>
          <t>E143</t>
        </is>
      </c>
      <c r="B50" s="10" t="inlineStr">
        <is>
          <t>Employee_143</t>
        </is>
      </c>
      <c r="C50" s="9" t="inlineStr">
        <is>
          <t>Operations</t>
        </is>
      </c>
      <c r="D50" s="11" t="n">
        <v>8699829</v>
      </c>
      <c r="E50" s="11" t="n">
        <v>2724352</v>
      </c>
      <c r="F50" s="11" t="n">
        <v>360444</v>
      </c>
      <c r="G50" s="12">
        <f>D50+E50-F50</f>
        <v/>
      </c>
      <c r="H50" s="13">
        <f>E50/D50</f>
        <v/>
      </c>
      <c r="I50" s="13">
        <f>F50/D50</f>
        <v/>
      </c>
    </row>
    <row r="51" ht="20" customHeight="1">
      <c r="A51" s="4" t="inlineStr">
        <is>
          <t>E146</t>
        </is>
      </c>
      <c r="B51" s="5" t="inlineStr">
        <is>
          <t>Employee_146</t>
        </is>
      </c>
      <c r="C51" s="4" t="inlineStr">
        <is>
          <t>Operations</t>
        </is>
      </c>
      <c r="D51" s="6" t="n">
        <v>18411086</v>
      </c>
      <c r="E51" s="6" t="n">
        <v>2848043</v>
      </c>
      <c r="F51" s="6" t="n">
        <v>464670</v>
      </c>
      <c r="G51" s="7">
        <f>D51+E51-F51</f>
        <v/>
      </c>
      <c r="H51" s="8">
        <f>E51/D51</f>
        <v/>
      </c>
      <c r="I51" s="8">
        <f>F51/D51</f>
        <v/>
      </c>
    </row>
    <row r="52" ht="20" customHeight="1">
      <c r="A52" s="9" t="inlineStr">
        <is>
          <t>E157</t>
        </is>
      </c>
      <c r="B52" s="10" t="inlineStr">
        <is>
          <t>Employee_157</t>
        </is>
      </c>
      <c r="C52" s="9" t="inlineStr">
        <is>
          <t>Operations</t>
        </is>
      </c>
      <c r="D52" s="11" t="n">
        <v>23526026</v>
      </c>
      <c r="E52" s="11" t="n">
        <v>4868155</v>
      </c>
      <c r="F52" s="11" t="n">
        <v>1162485</v>
      </c>
      <c r="G52" s="12">
        <f>D52+E52-F52</f>
        <v/>
      </c>
      <c r="H52" s="13">
        <f>E52/D52</f>
        <v/>
      </c>
      <c r="I52" s="13">
        <f>F52/D52</f>
        <v/>
      </c>
    </row>
    <row r="53" ht="20" customHeight="1">
      <c r="A53" s="4" t="inlineStr">
        <is>
          <t>E158</t>
        </is>
      </c>
      <c r="B53" s="5" t="inlineStr">
        <is>
          <t>Employee_158</t>
        </is>
      </c>
      <c r="C53" s="4" t="inlineStr">
        <is>
          <t>Operations</t>
        </is>
      </c>
      <c r="D53" s="6" t="n">
        <v>27181615</v>
      </c>
      <c r="E53" s="6" t="n">
        <v>1579067</v>
      </c>
      <c r="F53" s="6" t="n">
        <v>674290</v>
      </c>
      <c r="G53" s="7">
        <f>D53+E53-F53</f>
        <v/>
      </c>
      <c r="H53" s="8">
        <f>E53/D53</f>
        <v/>
      </c>
      <c r="I53" s="8">
        <f>F53/D53</f>
        <v/>
      </c>
    </row>
    <row r="54" ht="20" customHeight="1">
      <c r="A54" s="9" t="inlineStr">
        <is>
          <t>E196</t>
        </is>
      </c>
      <c r="B54" s="10" t="inlineStr">
        <is>
          <t>Employee_196</t>
        </is>
      </c>
      <c r="C54" s="9" t="inlineStr">
        <is>
          <t>Operations</t>
        </is>
      </c>
      <c r="D54" s="11" t="n">
        <v>23775115</v>
      </c>
      <c r="E54" s="11" t="n">
        <v>365193</v>
      </c>
      <c r="F54" s="11" t="n">
        <v>1333098</v>
      </c>
      <c r="G54" s="12">
        <f>D54+E54-F54</f>
        <v/>
      </c>
      <c r="H54" s="13">
        <f>E54/D54</f>
        <v/>
      </c>
      <c r="I54" s="13">
        <f>F54/D54</f>
        <v/>
      </c>
    </row>
    <row r="55" ht="20" customHeight="1">
      <c r="A55" s="4" t="inlineStr">
        <is>
          <t>E002</t>
        </is>
      </c>
      <c r="B55" s="5" t="inlineStr">
        <is>
          <t>Employee_2</t>
        </is>
      </c>
      <c r="C55" s="4" t="inlineStr">
        <is>
          <t>Sales</t>
        </is>
      </c>
      <c r="D55" s="6" t="n">
        <v>17872907</v>
      </c>
      <c r="E55" s="6" t="n">
        <v>1858885</v>
      </c>
      <c r="F55" s="6" t="n">
        <v>848090</v>
      </c>
      <c r="G55" s="7">
        <f>D55+E55-F55</f>
        <v/>
      </c>
      <c r="H55" s="8">
        <f>E55/D55</f>
        <v/>
      </c>
      <c r="I55" s="8">
        <f>F55/D55</f>
        <v/>
      </c>
    </row>
    <row r="56" ht="20" customHeight="1">
      <c r="A56" s="9" t="inlineStr">
        <is>
          <t>E015</t>
        </is>
      </c>
      <c r="B56" s="10" t="inlineStr">
        <is>
          <t>Employee_15</t>
        </is>
      </c>
      <c r="C56" s="9" t="inlineStr">
        <is>
          <t>Sales</t>
        </is>
      </c>
      <c r="D56" s="11" t="n">
        <v>13091113</v>
      </c>
      <c r="E56" s="11" t="n">
        <v>1251560</v>
      </c>
      <c r="F56" s="11" t="n">
        <v>1701088</v>
      </c>
      <c r="G56" s="12">
        <f>D56+E56-F56</f>
        <v/>
      </c>
      <c r="H56" s="13">
        <f>E56/D56</f>
        <v/>
      </c>
      <c r="I56" s="13">
        <f>F56/D56</f>
        <v/>
      </c>
    </row>
    <row r="57" ht="20" customHeight="1">
      <c r="A57" s="4" t="inlineStr">
        <is>
          <t>E019</t>
        </is>
      </c>
      <c r="B57" s="5" t="inlineStr">
        <is>
          <t>Employee_19</t>
        </is>
      </c>
      <c r="C57" s="4" t="inlineStr">
        <is>
          <t>Sales</t>
        </is>
      </c>
      <c r="D57" s="6" t="n">
        <v>14972205</v>
      </c>
      <c r="E57" s="6" t="n">
        <v>1770207</v>
      </c>
      <c r="F57" s="6" t="n">
        <v>555003</v>
      </c>
      <c r="G57" s="7">
        <f>D57+E57-F57</f>
        <v/>
      </c>
      <c r="H57" s="8">
        <f>E57/D57</f>
        <v/>
      </c>
      <c r="I57" s="8">
        <f>F57/D57</f>
        <v/>
      </c>
    </row>
    <row r="58" ht="20" customHeight="1">
      <c r="A58" s="9" t="inlineStr">
        <is>
          <t>E076</t>
        </is>
      </c>
      <c r="B58" s="10" t="inlineStr">
        <is>
          <t>Employee_76</t>
        </is>
      </c>
      <c r="C58" s="9" t="inlineStr">
        <is>
          <t>Sales</t>
        </is>
      </c>
      <c r="D58" s="11" t="n">
        <v>28347625</v>
      </c>
      <c r="E58" s="11" t="n">
        <v>4166850</v>
      </c>
      <c r="F58" s="11" t="n">
        <v>1746589</v>
      </c>
      <c r="G58" s="12">
        <f>D58+E58-F58</f>
        <v/>
      </c>
      <c r="H58" s="13">
        <f>E58/D58</f>
        <v/>
      </c>
      <c r="I58" s="13">
        <f>F58/D58</f>
        <v/>
      </c>
    </row>
    <row r="59" ht="20" customHeight="1">
      <c r="A59" s="4" t="inlineStr">
        <is>
          <t>E091</t>
        </is>
      </c>
      <c r="B59" s="5" t="inlineStr">
        <is>
          <t>Employee_91</t>
        </is>
      </c>
      <c r="C59" s="4" t="inlineStr">
        <is>
          <t>Sales</t>
        </is>
      </c>
      <c r="D59" s="6" t="n">
        <v>15878581</v>
      </c>
      <c r="E59" s="6" t="n">
        <v>4509267</v>
      </c>
      <c r="F59" s="6" t="n">
        <v>284508</v>
      </c>
      <c r="G59" s="7">
        <f>D59+E59-F59</f>
        <v/>
      </c>
      <c r="H59" s="8">
        <f>E59/D59</f>
        <v/>
      </c>
      <c r="I59" s="8">
        <f>F59/D59</f>
        <v/>
      </c>
    </row>
    <row r="60" ht="20" customHeight="1">
      <c r="A60" s="9" t="inlineStr">
        <is>
          <t>E099</t>
        </is>
      </c>
      <c r="B60" s="10" t="inlineStr">
        <is>
          <t>Employee_99</t>
        </is>
      </c>
      <c r="C60" s="9" t="inlineStr">
        <is>
          <t>Sales</t>
        </is>
      </c>
      <c r="D60" s="11" t="n">
        <v>19190710</v>
      </c>
      <c r="E60" s="11" t="n">
        <v>2043203</v>
      </c>
      <c r="F60" s="11" t="n">
        <v>264081</v>
      </c>
      <c r="G60" s="12">
        <f>D60+E60-F60</f>
        <v/>
      </c>
      <c r="H60" s="13">
        <f>E60/D60</f>
        <v/>
      </c>
      <c r="I60" s="13">
        <f>F60/D60</f>
        <v/>
      </c>
    </row>
    <row r="61" ht="20" customHeight="1">
      <c r="A61" s="4" t="inlineStr">
        <is>
          <t>E118</t>
        </is>
      </c>
      <c r="B61" s="5" t="inlineStr">
        <is>
          <t>Employee_118</t>
        </is>
      </c>
      <c r="C61" s="4" t="inlineStr">
        <is>
          <t>Sales</t>
        </is>
      </c>
      <c r="D61" s="6" t="n">
        <v>11128283</v>
      </c>
      <c r="E61" s="6" t="n">
        <v>3622842</v>
      </c>
      <c r="F61" s="6" t="n">
        <v>202510</v>
      </c>
      <c r="G61" s="7">
        <f>D61+E61-F61</f>
        <v/>
      </c>
      <c r="H61" s="8">
        <f>E61/D61</f>
        <v/>
      </c>
      <c r="I61" s="8">
        <f>F61/D61</f>
        <v/>
      </c>
    </row>
    <row r="62" ht="20" customHeight="1">
      <c r="A62" s="9" t="inlineStr">
        <is>
          <t>E128</t>
        </is>
      </c>
      <c r="B62" s="10" t="inlineStr">
        <is>
          <t>Employee_128</t>
        </is>
      </c>
      <c r="C62" s="9" t="inlineStr">
        <is>
          <t>Sales</t>
        </is>
      </c>
      <c r="D62" s="11" t="n">
        <v>25800045</v>
      </c>
      <c r="E62" s="11" t="n">
        <v>1804665</v>
      </c>
      <c r="F62" s="11" t="n">
        <v>788936</v>
      </c>
      <c r="G62" s="12">
        <f>D62+E62-F62</f>
        <v/>
      </c>
      <c r="H62" s="13">
        <f>E62/D62</f>
        <v/>
      </c>
      <c r="I62" s="13">
        <f>F62/D62</f>
        <v/>
      </c>
    </row>
    <row r="63" ht="20" customHeight="1">
      <c r="A63" s="4" t="inlineStr">
        <is>
          <t>E136</t>
        </is>
      </c>
      <c r="B63" s="5" t="inlineStr">
        <is>
          <t>Employee_136</t>
        </is>
      </c>
      <c r="C63" s="4" t="inlineStr">
        <is>
          <t>Sales</t>
        </is>
      </c>
      <c r="D63" s="6" t="n">
        <v>14859301</v>
      </c>
      <c r="E63" s="6" t="n">
        <v>2528488</v>
      </c>
      <c r="F63" s="6" t="n">
        <v>1982488</v>
      </c>
      <c r="G63" s="7">
        <f>D63+E63-F63</f>
        <v/>
      </c>
      <c r="H63" s="8">
        <f>E63/D63</f>
        <v/>
      </c>
      <c r="I63" s="8">
        <f>F63/D63</f>
        <v/>
      </c>
    </row>
    <row r="64" ht="20" customHeight="1">
      <c r="A64" s="9" t="inlineStr">
        <is>
          <t>E138</t>
        </is>
      </c>
      <c r="B64" s="10" t="inlineStr">
        <is>
          <t>Employee_138</t>
        </is>
      </c>
      <c r="C64" s="9" t="inlineStr">
        <is>
          <t>Sales</t>
        </is>
      </c>
      <c r="D64" s="11" t="n">
        <v>24689482</v>
      </c>
      <c r="E64" s="11" t="n">
        <v>3612596</v>
      </c>
      <c r="F64" s="11" t="n">
        <v>368458</v>
      </c>
      <c r="G64" s="12">
        <f>D64+E64-F64</f>
        <v/>
      </c>
      <c r="H64" s="13">
        <f>E64/D64</f>
        <v/>
      </c>
      <c r="I64" s="13">
        <f>F64/D64</f>
        <v/>
      </c>
    </row>
    <row r="65" ht="20" customHeight="1">
      <c r="A65" s="4" t="inlineStr">
        <is>
          <t>E172</t>
        </is>
      </c>
      <c r="B65" s="5" t="inlineStr">
        <is>
          <t>Employee_172</t>
        </is>
      </c>
      <c r="C65" s="4" t="inlineStr">
        <is>
          <t>Sales</t>
        </is>
      </c>
      <c r="D65" s="6" t="n">
        <v>19299937</v>
      </c>
      <c r="E65" s="6" t="n">
        <v>1099319</v>
      </c>
      <c r="F65" s="6" t="n">
        <v>1252516</v>
      </c>
      <c r="G65" s="7">
        <f>D65+E65-F65</f>
        <v/>
      </c>
      <c r="H65" s="8">
        <f>E65/D65</f>
        <v/>
      </c>
      <c r="I65" s="8">
        <f>F65/D65</f>
        <v/>
      </c>
    </row>
    <row r="66" ht="20" customHeight="1">
      <c r="A66" s="9" t="inlineStr">
        <is>
          <t>E189</t>
        </is>
      </c>
      <c r="B66" s="10" t="inlineStr">
        <is>
          <t>Employee_189</t>
        </is>
      </c>
      <c r="C66" s="9" t="inlineStr">
        <is>
          <t>Sales</t>
        </is>
      </c>
      <c r="D66" s="11" t="n">
        <v>8637664</v>
      </c>
      <c r="E66" s="11" t="n">
        <v>2146845</v>
      </c>
      <c r="F66" s="11" t="n">
        <v>452260</v>
      </c>
      <c r="G66" s="12">
        <f>D66+E66-F66</f>
        <v/>
      </c>
      <c r="H66" s="13">
        <f>E66/D66</f>
        <v/>
      </c>
      <c r="I66" s="13">
        <f>F66/D66</f>
        <v/>
      </c>
    </row>
    <row r="67" ht="25" customHeight="1">
      <c r="A67" s="14" t="inlineStr">
        <is>
          <t>TỔNG CỘNG</t>
        </is>
      </c>
      <c r="B67" s="15" t="inlineStr">
        <is>
          <t>62 nhân sự</t>
        </is>
      </c>
      <c r="C67" s="14" t="inlineStr">
        <is>
          <t>-</t>
        </is>
      </c>
      <c r="D67" s="16">
        <f>SUM(D5:D66)</f>
        <v/>
      </c>
      <c r="E67" s="16">
        <f>SUM(E5:E66)</f>
        <v/>
      </c>
      <c r="F67" s="16">
        <f>SUM(F5:F66)</f>
        <v/>
      </c>
      <c r="G67" s="16">
        <f>SUM(G5:G66)</f>
        <v/>
      </c>
      <c r="H67" s="17">
        <f>E67/D67</f>
        <v/>
      </c>
      <c r="I67" s="17">
        <f>F67/D67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2026-09-09T14:46:58Z</dcterms:created>
  <dcterms:modified xsi:type="dcterms:W3CDTF">2026-09-09T14:46:58Z</dcterms:modified>
</cp:coreProperties>
</file>