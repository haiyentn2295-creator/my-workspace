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_Manager_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₫"/>
    <numFmt numFmtId="165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</font>
    <font>
      <name val="Segoe UI"/>
      <sz val="10"/>
    </font>
    <font>
      <name val="Segoe U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164" fontId="5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5" borderId="2" applyAlignment="1" pivotButton="0" quotePrefix="0" xfId="0">
      <alignment horizontal="center"/>
    </xf>
    <xf numFmtId="0" fontId="6" fillId="5" borderId="2" applyAlignment="1" pivotButton="0" quotePrefix="0" xfId="0">
      <alignment horizontal="left"/>
    </xf>
    <xf numFmtId="164" fontId="6" fillId="5" borderId="2" applyAlignment="1" pivotButton="0" quotePrefix="0" xfId="0">
      <alignment horizontal="right"/>
    </xf>
    <xf numFmtId="165" fontId="6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2" customWidth="1" min="4" max="4"/>
    <col width="18" customWidth="1" min="5" max="5"/>
    <col width="18" customWidth="1" min="6" max="6"/>
    <col width="22" customWidth="1" min="7" max="7"/>
    <col width="16" customWidth="1" min="8" max="8"/>
    <col width="16" customWidth="1" min="9" max="9"/>
  </cols>
  <sheetData>
    <row r="1" ht="40" customHeight="1">
      <c r="A1" s="1" t="inlineStr">
        <is>
          <t>BÁO CÁO CHI TIẾT LƯƠNG &amp; VẬN HÀNH THÁNG 2026-03 — MANAGER_B</t>
        </is>
      </c>
    </row>
    <row r="2" ht="20" customHeight="1">
      <c r="A2" s="2" t="inlineStr">
        <is>
          <t>Bộ phận quản lý: Đa phòng ban | Nhân sự: 37 nhân viên | Xuất ngày: 09/09/2026</t>
        </is>
      </c>
    </row>
    <row r="3"/>
    <row r="4" ht="26" customHeight="1">
      <c r="A4" s="3" t="inlineStr">
        <is>
          <t>Mã NV</t>
        </is>
      </c>
      <c r="B4" s="3" t="inlineStr">
        <is>
          <t>Họ và Tên</t>
        </is>
      </c>
      <c r="C4" s="3" t="inlineStr">
        <is>
          <t>Bộ Phận</t>
        </is>
      </c>
      <c r="D4" s="3" t="inlineStr">
        <is>
          <t>Lương Cơ Bản (VNĐ)</t>
        </is>
      </c>
      <c r="E4" s="3" t="inlineStr">
        <is>
          <t>Thưởng (VNĐ)</t>
        </is>
      </c>
      <c r="F4" s="3" t="inlineStr">
        <is>
          <t>Phạt (VNĐ)</t>
        </is>
      </c>
      <c r="G4" s="3" t="inlineStr">
        <is>
          <t>Thực Nhận (VNĐ)</t>
        </is>
      </c>
      <c r="H4" s="3" t="inlineStr">
        <is>
          <t>% Thưởng/LCB</t>
        </is>
      </c>
      <c r="I4" s="3" t="inlineStr">
        <is>
          <t>% Phạt/LCB</t>
        </is>
      </c>
    </row>
    <row r="5" ht="20" customHeight="1">
      <c r="A5" s="4" t="inlineStr">
        <is>
          <t>E003</t>
        </is>
      </c>
      <c r="B5" s="5" t="inlineStr">
        <is>
          <t>Employee_3</t>
        </is>
      </c>
      <c r="C5" s="4" t="inlineStr">
        <is>
          <t>Finance</t>
        </is>
      </c>
      <c r="D5" s="6" t="n">
        <v>27513767</v>
      </c>
      <c r="E5" s="6" t="n">
        <v>3095567</v>
      </c>
      <c r="F5" s="6" t="n">
        <v>992499</v>
      </c>
      <c r="G5" s="7">
        <f>D5+E5-F5</f>
        <v/>
      </c>
      <c r="H5" s="8">
        <f>E5/D5</f>
        <v/>
      </c>
      <c r="I5" s="8">
        <f>F5/D5</f>
        <v/>
      </c>
    </row>
    <row r="6" ht="20" customHeight="1">
      <c r="A6" s="9" t="inlineStr">
        <is>
          <t>E010</t>
        </is>
      </c>
      <c r="B6" s="10" t="inlineStr">
        <is>
          <t>Employee_10</t>
        </is>
      </c>
      <c r="C6" s="9" t="inlineStr">
        <is>
          <t>Finance</t>
        </is>
      </c>
      <c r="D6" s="11" t="n">
        <v>9527253</v>
      </c>
      <c r="E6" s="11" t="n">
        <v>457397</v>
      </c>
      <c r="F6" s="11" t="n">
        <v>1160477</v>
      </c>
      <c r="G6" s="12">
        <f>D6+E6-F6</f>
        <v/>
      </c>
      <c r="H6" s="13">
        <f>E6/D6</f>
        <v/>
      </c>
      <c r="I6" s="13">
        <f>F6/D6</f>
        <v/>
      </c>
    </row>
    <row r="7" ht="20" customHeight="1">
      <c r="A7" s="4" t="inlineStr">
        <is>
          <t>E064</t>
        </is>
      </c>
      <c r="B7" s="5" t="inlineStr">
        <is>
          <t>Employee_64</t>
        </is>
      </c>
      <c r="C7" s="4" t="inlineStr">
        <is>
          <t>Finance</t>
        </is>
      </c>
      <c r="D7" s="6" t="n">
        <v>8971308</v>
      </c>
      <c r="E7" s="6" t="n">
        <v>385800</v>
      </c>
      <c r="F7" s="6" t="n">
        <v>680262</v>
      </c>
      <c r="G7" s="7">
        <f>D7+E7-F7</f>
        <v/>
      </c>
      <c r="H7" s="8">
        <f>E7/D7</f>
        <v/>
      </c>
      <c r="I7" s="8">
        <f>F7/D7</f>
        <v/>
      </c>
    </row>
    <row r="8" ht="20" customHeight="1">
      <c r="A8" s="9" t="inlineStr">
        <is>
          <t>E078</t>
        </is>
      </c>
      <c r="B8" s="10" t="inlineStr">
        <is>
          <t>Employee_78</t>
        </is>
      </c>
      <c r="C8" s="9" t="inlineStr">
        <is>
          <t>Finance</t>
        </is>
      </c>
      <c r="D8" s="11" t="n">
        <v>12589549</v>
      </c>
      <c r="E8" s="11" t="n">
        <v>815070</v>
      </c>
      <c r="F8" s="11" t="n">
        <v>1894574</v>
      </c>
      <c r="G8" s="12">
        <f>D8+E8-F8</f>
        <v/>
      </c>
      <c r="H8" s="13">
        <f>E8/D8</f>
        <v/>
      </c>
      <c r="I8" s="13">
        <f>F8/D8</f>
        <v/>
      </c>
    </row>
    <row r="9" ht="20" customHeight="1">
      <c r="A9" s="4" t="inlineStr">
        <is>
          <t>E096</t>
        </is>
      </c>
      <c r="B9" s="5" t="inlineStr">
        <is>
          <t>Employee_96</t>
        </is>
      </c>
      <c r="C9" s="4" t="inlineStr">
        <is>
          <t>Finance</t>
        </is>
      </c>
      <c r="D9" s="6" t="n">
        <v>11333787</v>
      </c>
      <c r="E9" s="6" t="n">
        <v>3081428</v>
      </c>
      <c r="F9" s="6" t="n">
        <v>1141827</v>
      </c>
      <c r="G9" s="7">
        <f>D9+E9-F9</f>
        <v/>
      </c>
      <c r="H9" s="8">
        <f>E9/D9</f>
        <v/>
      </c>
      <c r="I9" s="8">
        <f>F9/D9</f>
        <v/>
      </c>
    </row>
    <row r="10" ht="20" customHeight="1">
      <c r="A10" s="9" t="inlineStr">
        <is>
          <t>E162</t>
        </is>
      </c>
      <c r="B10" s="10" t="inlineStr">
        <is>
          <t>Employee_162</t>
        </is>
      </c>
      <c r="C10" s="9" t="inlineStr">
        <is>
          <t>Finance</t>
        </is>
      </c>
      <c r="D10" s="11" t="n">
        <v>20510836</v>
      </c>
      <c r="E10" s="11" t="n">
        <v>2373083</v>
      </c>
      <c r="F10" s="11" t="n">
        <v>812471</v>
      </c>
      <c r="G10" s="12">
        <f>D10+E10-F10</f>
        <v/>
      </c>
      <c r="H10" s="13">
        <f>E10/D10</f>
        <v/>
      </c>
      <c r="I10" s="13">
        <f>F10/D10</f>
        <v/>
      </c>
    </row>
    <row r="11" ht="20" customHeight="1">
      <c r="A11" s="4" t="inlineStr">
        <is>
          <t>E007</t>
        </is>
      </c>
      <c r="B11" s="5" t="inlineStr">
        <is>
          <t>Employee_7</t>
        </is>
      </c>
      <c r="C11" s="4" t="inlineStr">
        <is>
          <t>HR</t>
        </is>
      </c>
      <c r="D11" s="6" t="n">
        <v>15260663</v>
      </c>
      <c r="E11" s="6" t="n">
        <v>4061752</v>
      </c>
      <c r="F11" s="6" t="n">
        <v>579861</v>
      </c>
      <c r="G11" s="7">
        <f>D11+E11-F11</f>
        <v/>
      </c>
      <c r="H11" s="8">
        <f>E11/D11</f>
        <v/>
      </c>
      <c r="I11" s="8">
        <f>F11/D11</f>
        <v/>
      </c>
    </row>
    <row r="12" ht="20" customHeight="1">
      <c r="A12" s="9" t="inlineStr">
        <is>
          <t>E025</t>
        </is>
      </c>
      <c r="B12" s="10" t="inlineStr">
        <is>
          <t>Employee_25</t>
        </is>
      </c>
      <c r="C12" s="9" t="inlineStr">
        <is>
          <t>HR</t>
        </is>
      </c>
      <c r="D12" s="11" t="n">
        <v>16913146</v>
      </c>
      <c r="E12" s="11" t="n">
        <v>1193164</v>
      </c>
      <c r="F12" s="11" t="n">
        <v>149757</v>
      </c>
      <c r="G12" s="12">
        <f>D12+E12-F12</f>
        <v/>
      </c>
      <c r="H12" s="13">
        <f>E12/D12</f>
        <v/>
      </c>
      <c r="I12" s="13">
        <f>F12/D12</f>
        <v/>
      </c>
    </row>
    <row r="13" ht="20" customHeight="1">
      <c r="A13" s="4" t="inlineStr">
        <is>
          <t>E044</t>
        </is>
      </c>
      <c r="B13" s="5" t="inlineStr">
        <is>
          <t>Employee_44</t>
        </is>
      </c>
      <c r="C13" s="4" t="inlineStr">
        <is>
          <t>HR</t>
        </is>
      </c>
      <c r="D13" s="6" t="n">
        <v>18427044</v>
      </c>
      <c r="E13" s="6" t="n">
        <v>4620772</v>
      </c>
      <c r="F13" s="6" t="n">
        <v>28677</v>
      </c>
      <c r="G13" s="7">
        <f>D13+E13-F13</f>
        <v/>
      </c>
      <c r="H13" s="8">
        <f>E13/D13</f>
        <v/>
      </c>
      <c r="I13" s="8">
        <f>F13/D13</f>
        <v/>
      </c>
    </row>
    <row r="14" ht="20" customHeight="1">
      <c r="A14" s="9" t="inlineStr">
        <is>
          <t>E066</t>
        </is>
      </c>
      <c r="B14" s="10" t="inlineStr">
        <is>
          <t>Employee_66</t>
        </is>
      </c>
      <c r="C14" s="9" t="inlineStr">
        <is>
          <t>HR</t>
        </is>
      </c>
      <c r="D14" s="11" t="n">
        <v>25822984</v>
      </c>
      <c r="E14" s="11" t="n">
        <v>3456540</v>
      </c>
      <c r="F14" s="11" t="n">
        <v>1186837</v>
      </c>
      <c r="G14" s="12">
        <f>D14+E14-F14</f>
        <v/>
      </c>
      <c r="H14" s="13">
        <f>E14/D14</f>
        <v/>
      </c>
      <c r="I14" s="13">
        <f>F14/D14</f>
        <v/>
      </c>
    </row>
    <row r="15" ht="20" customHeight="1">
      <c r="A15" s="4" t="inlineStr">
        <is>
          <t>E067</t>
        </is>
      </c>
      <c r="B15" s="5" t="inlineStr">
        <is>
          <t>Employee_67</t>
        </is>
      </c>
      <c r="C15" s="4" t="inlineStr">
        <is>
          <t>HR</t>
        </is>
      </c>
      <c r="D15" s="6" t="n">
        <v>13874352</v>
      </c>
      <c r="E15" s="6" t="n">
        <v>662434</v>
      </c>
      <c r="F15" s="6" t="n">
        <v>1278196</v>
      </c>
      <c r="G15" s="7">
        <f>D15+E15-F15</f>
        <v/>
      </c>
      <c r="H15" s="8">
        <f>E15/D15</f>
        <v/>
      </c>
      <c r="I15" s="8">
        <f>F15/D15</f>
        <v/>
      </c>
    </row>
    <row r="16" ht="20" customHeight="1">
      <c r="A16" s="9" t="inlineStr">
        <is>
          <t>E101</t>
        </is>
      </c>
      <c r="B16" s="10" t="inlineStr">
        <is>
          <t>Employee_101</t>
        </is>
      </c>
      <c r="C16" s="9" t="inlineStr">
        <is>
          <t>HR</t>
        </is>
      </c>
      <c r="D16" s="11" t="n">
        <v>19024629</v>
      </c>
      <c r="E16" s="11" t="n">
        <v>1237774</v>
      </c>
      <c r="F16" s="11" t="n">
        <v>1653905</v>
      </c>
      <c r="G16" s="12">
        <f>D16+E16-F16</f>
        <v/>
      </c>
      <c r="H16" s="13">
        <f>E16/D16</f>
        <v/>
      </c>
      <c r="I16" s="13">
        <f>F16/D16</f>
        <v/>
      </c>
    </row>
    <row r="17" ht="20" customHeight="1">
      <c r="A17" s="4" t="inlineStr">
        <is>
          <t>E137</t>
        </is>
      </c>
      <c r="B17" s="5" t="inlineStr">
        <is>
          <t>Employee_137</t>
        </is>
      </c>
      <c r="C17" s="4" t="inlineStr">
        <is>
          <t>HR</t>
        </is>
      </c>
      <c r="D17" s="6" t="n">
        <v>16573811</v>
      </c>
      <c r="E17" s="6" t="n">
        <v>2428058</v>
      </c>
      <c r="F17" s="6" t="n">
        <v>688122</v>
      </c>
      <c r="G17" s="7">
        <f>D17+E17-F17</f>
        <v/>
      </c>
      <c r="H17" s="8">
        <f>E17/D17</f>
        <v/>
      </c>
      <c r="I17" s="8">
        <f>F17/D17</f>
        <v/>
      </c>
    </row>
    <row r="18" ht="20" customHeight="1">
      <c r="A18" s="9" t="inlineStr">
        <is>
          <t>E149</t>
        </is>
      </c>
      <c r="B18" s="10" t="inlineStr">
        <is>
          <t>Employee_149</t>
        </is>
      </c>
      <c r="C18" s="9" t="inlineStr">
        <is>
          <t>HR</t>
        </is>
      </c>
      <c r="D18" s="11" t="n">
        <v>11449547</v>
      </c>
      <c r="E18" s="11" t="n">
        <v>1228463</v>
      </c>
      <c r="F18" s="11" t="n">
        <v>536804</v>
      </c>
      <c r="G18" s="12">
        <f>D18+E18-F18</f>
        <v/>
      </c>
      <c r="H18" s="13">
        <f>E18/D18</f>
        <v/>
      </c>
      <c r="I18" s="13">
        <f>F18/D18</f>
        <v/>
      </c>
    </row>
    <row r="19" ht="20" customHeight="1">
      <c r="A19" s="4" t="inlineStr">
        <is>
          <t>E150</t>
        </is>
      </c>
      <c r="B19" s="5" t="inlineStr">
        <is>
          <t>Employee_150</t>
        </is>
      </c>
      <c r="C19" s="4" t="inlineStr">
        <is>
          <t>HR</t>
        </is>
      </c>
      <c r="D19" s="6" t="n">
        <v>28213155</v>
      </c>
      <c r="E19" s="6" t="n">
        <v>1282364</v>
      </c>
      <c r="F19" s="6" t="n">
        <v>1594287</v>
      </c>
      <c r="G19" s="7">
        <f>D19+E19-F19</f>
        <v/>
      </c>
      <c r="H19" s="8">
        <f>E19/D19</f>
        <v/>
      </c>
      <c r="I19" s="8">
        <f>F19/D19</f>
        <v/>
      </c>
    </row>
    <row r="20" ht="20" customHeight="1">
      <c r="A20" s="9" t="inlineStr">
        <is>
          <t>E170</t>
        </is>
      </c>
      <c r="B20" s="10" t="inlineStr">
        <is>
          <t>Employee_170</t>
        </is>
      </c>
      <c r="C20" s="9" t="inlineStr">
        <is>
          <t>HR</t>
        </is>
      </c>
      <c r="D20" s="11" t="n">
        <v>19466634</v>
      </c>
      <c r="E20" s="11" t="n">
        <v>4079136</v>
      </c>
      <c r="F20" s="11" t="n">
        <v>402664</v>
      </c>
      <c r="G20" s="12">
        <f>D20+E20-F20</f>
        <v/>
      </c>
      <c r="H20" s="13">
        <f>E20/D20</f>
        <v/>
      </c>
      <c r="I20" s="13">
        <f>F20/D20</f>
        <v/>
      </c>
    </row>
    <row r="21" ht="20" customHeight="1">
      <c r="A21" s="4" t="inlineStr">
        <is>
          <t>E171</t>
        </is>
      </c>
      <c r="B21" s="5" t="inlineStr">
        <is>
          <t>Employee_171</t>
        </is>
      </c>
      <c r="C21" s="4" t="inlineStr">
        <is>
          <t>HR</t>
        </is>
      </c>
      <c r="D21" s="6" t="n">
        <v>13199097</v>
      </c>
      <c r="E21" s="6" t="n">
        <v>647307</v>
      </c>
      <c r="F21" s="6" t="n">
        <v>620320</v>
      </c>
      <c r="G21" s="7">
        <f>D21+E21-F21</f>
        <v/>
      </c>
      <c r="H21" s="8">
        <f>E21/D21</f>
        <v/>
      </c>
      <c r="I21" s="8">
        <f>F21/D21</f>
        <v/>
      </c>
    </row>
    <row r="22" ht="20" customHeight="1">
      <c r="A22" s="9" t="inlineStr">
        <is>
          <t>E001</t>
        </is>
      </c>
      <c r="B22" s="10" t="inlineStr">
        <is>
          <t>Employee_1</t>
        </is>
      </c>
      <c r="C22" s="9" t="inlineStr">
        <is>
          <t>Operations</t>
        </is>
      </c>
      <c r="D22" s="11" t="n">
        <v>29672904</v>
      </c>
      <c r="E22" s="11" t="n">
        <v>4117307</v>
      </c>
      <c r="F22" s="11" t="n">
        <v>939890</v>
      </c>
      <c r="G22" s="12">
        <f>D22+E22-F22</f>
        <v/>
      </c>
      <c r="H22" s="13">
        <f>E22/D22</f>
        <v/>
      </c>
      <c r="I22" s="13">
        <f>F22/D22</f>
        <v/>
      </c>
    </row>
    <row r="23" ht="20" customHeight="1">
      <c r="A23" s="4" t="inlineStr">
        <is>
          <t>E033</t>
        </is>
      </c>
      <c r="B23" s="5" t="inlineStr">
        <is>
          <t>Employee_33</t>
        </is>
      </c>
      <c r="C23" s="4" t="inlineStr">
        <is>
          <t>Operations</t>
        </is>
      </c>
      <c r="D23" s="6" t="n">
        <v>25413536</v>
      </c>
      <c r="E23" s="6" t="n">
        <v>3709689</v>
      </c>
      <c r="F23" s="6" t="n">
        <v>1921143</v>
      </c>
      <c r="G23" s="7">
        <f>D23+E23-F23</f>
        <v/>
      </c>
      <c r="H23" s="8">
        <f>E23/D23</f>
        <v/>
      </c>
      <c r="I23" s="8">
        <f>F23/D23</f>
        <v/>
      </c>
    </row>
    <row r="24" ht="20" customHeight="1">
      <c r="A24" s="9" t="inlineStr">
        <is>
          <t>E069</t>
        </is>
      </c>
      <c r="B24" s="10" t="inlineStr">
        <is>
          <t>Employee_69</t>
        </is>
      </c>
      <c r="C24" s="9" t="inlineStr">
        <is>
          <t>Operations</t>
        </is>
      </c>
      <c r="D24" s="11" t="n">
        <v>29404527</v>
      </c>
      <c r="E24" s="11" t="n">
        <v>2130516</v>
      </c>
      <c r="F24" s="11" t="n">
        <v>963789</v>
      </c>
      <c r="G24" s="12">
        <f>D24+E24-F24</f>
        <v/>
      </c>
      <c r="H24" s="13">
        <f>E24/D24</f>
        <v/>
      </c>
      <c r="I24" s="13">
        <f>F24/D24</f>
        <v/>
      </c>
    </row>
    <row r="25" ht="20" customHeight="1">
      <c r="A25" s="4" t="inlineStr">
        <is>
          <t>E074</t>
        </is>
      </c>
      <c r="B25" s="5" t="inlineStr">
        <is>
          <t>Employee_74</t>
        </is>
      </c>
      <c r="C25" s="4" t="inlineStr">
        <is>
          <t>Operations</t>
        </is>
      </c>
      <c r="D25" s="6" t="n">
        <v>27190541</v>
      </c>
      <c r="E25" s="6" t="n">
        <v>3011167</v>
      </c>
      <c r="F25" s="6" t="n">
        <v>1205467</v>
      </c>
      <c r="G25" s="7">
        <f>D25+E25-F25</f>
        <v/>
      </c>
      <c r="H25" s="8">
        <f>E25/D25</f>
        <v/>
      </c>
      <c r="I25" s="8">
        <f>F25/D25</f>
        <v/>
      </c>
    </row>
    <row r="26" ht="20" customHeight="1">
      <c r="A26" s="9" t="inlineStr">
        <is>
          <t>E093</t>
        </is>
      </c>
      <c r="B26" s="10" t="inlineStr">
        <is>
          <t>Employee_93</t>
        </is>
      </c>
      <c r="C26" s="9" t="inlineStr">
        <is>
          <t>Operations</t>
        </is>
      </c>
      <c r="D26" s="11" t="n">
        <v>29975532</v>
      </c>
      <c r="E26" s="11" t="n">
        <v>830653</v>
      </c>
      <c r="F26" s="11" t="n">
        <v>1748381</v>
      </c>
      <c r="G26" s="12">
        <f>D26+E26-F26</f>
        <v/>
      </c>
      <c r="H26" s="13">
        <f>E26/D26</f>
        <v/>
      </c>
      <c r="I26" s="13">
        <f>F26/D26</f>
        <v/>
      </c>
    </row>
    <row r="27" ht="20" customHeight="1">
      <c r="A27" s="4" t="inlineStr">
        <is>
          <t>E114</t>
        </is>
      </c>
      <c r="B27" s="5" t="inlineStr">
        <is>
          <t>Employee_114</t>
        </is>
      </c>
      <c r="C27" s="4" t="inlineStr">
        <is>
          <t>Operations</t>
        </is>
      </c>
      <c r="D27" s="6" t="n">
        <v>23151668</v>
      </c>
      <c r="E27" s="6" t="n">
        <v>1916743</v>
      </c>
      <c r="F27" s="6" t="n">
        <v>867829</v>
      </c>
      <c r="G27" s="7">
        <f>D27+E27-F27</f>
        <v/>
      </c>
      <c r="H27" s="8">
        <f>E27/D27</f>
        <v/>
      </c>
      <c r="I27" s="8">
        <f>F27/D27</f>
        <v/>
      </c>
    </row>
    <row r="28" ht="20" customHeight="1">
      <c r="A28" s="9" t="inlineStr">
        <is>
          <t>E127</t>
        </is>
      </c>
      <c r="B28" s="10" t="inlineStr">
        <is>
          <t>Employee_127</t>
        </is>
      </c>
      <c r="C28" s="9" t="inlineStr">
        <is>
          <t>Operations</t>
        </is>
      </c>
      <c r="D28" s="11" t="n">
        <v>10334899</v>
      </c>
      <c r="E28" s="11" t="n">
        <v>1190130</v>
      </c>
      <c r="F28" s="11" t="n">
        <v>1553924</v>
      </c>
      <c r="G28" s="12">
        <f>D28+E28-F28</f>
        <v/>
      </c>
      <c r="H28" s="13">
        <f>E28/D28</f>
        <v/>
      </c>
      <c r="I28" s="13">
        <f>F28/D28</f>
        <v/>
      </c>
    </row>
    <row r="29" ht="20" customHeight="1">
      <c r="A29" s="4" t="inlineStr">
        <is>
          <t>E139</t>
        </is>
      </c>
      <c r="B29" s="5" t="inlineStr">
        <is>
          <t>Employee_139</t>
        </is>
      </c>
      <c r="C29" s="4" t="inlineStr">
        <is>
          <t>Operations</t>
        </is>
      </c>
      <c r="D29" s="6" t="n">
        <v>25870498</v>
      </c>
      <c r="E29" s="6" t="n">
        <v>1930308</v>
      </c>
      <c r="F29" s="6" t="n">
        <v>1049126</v>
      </c>
      <c r="G29" s="7">
        <f>D29+E29-F29</f>
        <v/>
      </c>
      <c r="H29" s="8">
        <f>E29/D29</f>
        <v/>
      </c>
      <c r="I29" s="8">
        <f>F29/D29</f>
        <v/>
      </c>
    </row>
    <row r="30" ht="20" customHeight="1">
      <c r="A30" s="9" t="inlineStr">
        <is>
          <t>E161</t>
        </is>
      </c>
      <c r="B30" s="10" t="inlineStr">
        <is>
          <t>Employee_161</t>
        </is>
      </c>
      <c r="C30" s="9" t="inlineStr">
        <is>
          <t>Operations</t>
        </is>
      </c>
      <c r="D30" s="11" t="n">
        <v>22744548</v>
      </c>
      <c r="E30" s="11" t="n">
        <v>4396205</v>
      </c>
      <c r="F30" s="11" t="n">
        <v>1096282</v>
      </c>
      <c r="G30" s="12">
        <f>D30+E30-F30</f>
        <v/>
      </c>
      <c r="H30" s="13">
        <f>E30/D30</f>
        <v/>
      </c>
      <c r="I30" s="13">
        <f>F30/D30</f>
        <v/>
      </c>
    </row>
    <row r="31" ht="20" customHeight="1">
      <c r="A31" s="4" t="inlineStr">
        <is>
          <t>E174</t>
        </is>
      </c>
      <c r="B31" s="5" t="inlineStr">
        <is>
          <t>Employee_174</t>
        </is>
      </c>
      <c r="C31" s="4" t="inlineStr">
        <is>
          <t>Operations</t>
        </is>
      </c>
      <c r="D31" s="6" t="n">
        <v>9466074</v>
      </c>
      <c r="E31" s="6" t="n">
        <v>3446531</v>
      </c>
      <c r="F31" s="6" t="n">
        <v>763991</v>
      </c>
      <c r="G31" s="7">
        <f>D31+E31-F31</f>
        <v/>
      </c>
      <c r="H31" s="8">
        <f>E31/D31</f>
        <v/>
      </c>
      <c r="I31" s="8">
        <f>F31/D31</f>
        <v/>
      </c>
    </row>
    <row r="32" ht="20" customHeight="1">
      <c r="A32" s="9" t="inlineStr">
        <is>
          <t>E175</t>
        </is>
      </c>
      <c r="B32" s="10" t="inlineStr">
        <is>
          <t>Employee_175</t>
        </is>
      </c>
      <c r="C32" s="9" t="inlineStr">
        <is>
          <t>Operations</t>
        </is>
      </c>
      <c r="D32" s="11" t="n">
        <v>28488182</v>
      </c>
      <c r="E32" s="11" t="n">
        <v>2390148</v>
      </c>
      <c r="F32" s="11" t="n">
        <v>1577878</v>
      </c>
      <c r="G32" s="12">
        <f>D32+E32-F32</f>
        <v/>
      </c>
      <c r="H32" s="13">
        <f>E32/D32</f>
        <v/>
      </c>
      <c r="I32" s="13">
        <f>F32/D32</f>
        <v/>
      </c>
    </row>
    <row r="33" ht="20" customHeight="1">
      <c r="A33" s="4" t="inlineStr">
        <is>
          <t>E183</t>
        </is>
      </c>
      <c r="B33" s="5" t="inlineStr">
        <is>
          <t>Employee_183</t>
        </is>
      </c>
      <c r="C33" s="4" t="inlineStr">
        <is>
          <t>Operations</t>
        </is>
      </c>
      <c r="D33" s="6" t="n">
        <v>11077396</v>
      </c>
      <c r="E33" s="6" t="n">
        <v>1862589</v>
      </c>
      <c r="F33" s="6" t="n">
        <v>1712750</v>
      </c>
      <c r="G33" s="7">
        <f>D33+E33-F33</f>
        <v/>
      </c>
      <c r="H33" s="8">
        <f>E33/D33</f>
        <v/>
      </c>
      <c r="I33" s="8">
        <f>F33/D33</f>
        <v/>
      </c>
    </row>
    <row r="34" ht="20" customHeight="1">
      <c r="A34" s="9" t="inlineStr">
        <is>
          <t>E190</t>
        </is>
      </c>
      <c r="B34" s="10" t="inlineStr">
        <is>
          <t>Employee_190</t>
        </is>
      </c>
      <c r="C34" s="9" t="inlineStr">
        <is>
          <t>Operations</t>
        </is>
      </c>
      <c r="D34" s="11" t="n">
        <v>11730811</v>
      </c>
      <c r="E34" s="11" t="n">
        <v>2416771</v>
      </c>
      <c r="F34" s="11" t="n">
        <v>498367</v>
      </c>
      <c r="G34" s="12">
        <f>D34+E34-F34</f>
        <v/>
      </c>
      <c r="H34" s="13">
        <f>E34/D34</f>
        <v/>
      </c>
      <c r="I34" s="13">
        <f>F34/D34</f>
        <v/>
      </c>
    </row>
    <row r="35" ht="20" customHeight="1">
      <c r="A35" s="4" t="inlineStr">
        <is>
          <t>E049</t>
        </is>
      </c>
      <c r="B35" s="5" t="inlineStr">
        <is>
          <t>Employee_49</t>
        </is>
      </c>
      <c r="C35" s="4" t="inlineStr">
        <is>
          <t>Sales</t>
        </is>
      </c>
      <c r="D35" s="6" t="n">
        <v>17269324</v>
      </c>
      <c r="E35" s="6" t="n">
        <v>3480789</v>
      </c>
      <c r="F35" s="6" t="n">
        <v>712770</v>
      </c>
      <c r="G35" s="7">
        <f>D35+E35-F35</f>
        <v/>
      </c>
      <c r="H35" s="8">
        <f>E35/D35</f>
        <v/>
      </c>
      <c r="I35" s="8">
        <f>F35/D35</f>
        <v/>
      </c>
    </row>
    <row r="36" ht="20" customHeight="1">
      <c r="A36" s="9" t="inlineStr">
        <is>
          <t>E059</t>
        </is>
      </c>
      <c r="B36" s="10" t="inlineStr">
        <is>
          <t>Employee_59</t>
        </is>
      </c>
      <c r="C36" s="9" t="inlineStr">
        <is>
          <t>Sales</t>
        </is>
      </c>
      <c r="D36" s="11" t="n">
        <v>23753490</v>
      </c>
      <c r="E36" s="11" t="n">
        <v>2223172</v>
      </c>
      <c r="F36" s="11" t="n">
        <v>710014</v>
      </c>
      <c r="G36" s="12">
        <f>D36+E36-F36</f>
        <v/>
      </c>
      <c r="H36" s="13">
        <f>E36/D36</f>
        <v/>
      </c>
      <c r="I36" s="13">
        <f>F36/D36</f>
        <v/>
      </c>
    </row>
    <row r="37" ht="20" customHeight="1">
      <c r="A37" s="4" t="inlineStr">
        <is>
          <t>E071</t>
        </is>
      </c>
      <c r="B37" s="5" t="inlineStr">
        <is>
          <t>Employee_71</t>
        </is>
      </c>
      <c r="C37" s="4" t="inlineStr">
        <is>
          <t>Sales</t>
        </is>
      </c>
      <c r="D37" s="6" t="n">
        <v>22821991</v>
      </c>
      <c r="E37" s="6" t="n">
        <v>2898814</v>
      </c>
      <c r="F37" s="6" t="n">
        <v>1232227</v>
      </c>
      <c r="G37" s="7">
        <f>D37+E37-F37</f>
        <v/>
      </c>
      <c r="H37" s="8">
        <f>E37/D37</f>
        <v/>
      </c>
      <c r="I37" s="8">
        <f>F37/D37</f>
        <v/>
      </c>
    </row>
    <row r="38" ht="20" customHeight="1">
      <c r="A38" s="9" t="inlineStr">
        <is>
          <t>E090</t>
        </is>
      </c>
      <c r="B38" s="10" t="inlineStr">
        <is>
          <t>Employee_90</t>
        </is>
      </c>
      <c r="C38" s="9" t="inlineStr">
        <is>
          <t>Sales</t>
        </is>
      </c>
      <c r="D38" s="11" t="n">
        <v>9248631</v>
      </c>
      <c r="E38" s="11" t="n">
        <v>2553195</v>
      </c>
      <c r="F38" s="11" t="n">
        <v>1033108</v>
      </c>
      <c r="G38" s="12">
        <f>D38+E38-F38</f>
        <v/>
      </c>
      <c r="H38" s="13">
        <f>E38/D38</f>
        <v/>
      </c>
      <c r="I38" s="13">
        <f>F38/D38</f>
        <v/>
      </c>
    </row>
    <row r="39" ht="20" customHeight="1">
      <c r="A39" s="4" t="inlineStr">
        <is>
          <t>E100</t>
        </is>
      </c>
      <c r="B39" s="5" t="inlineStr">
        <is>
          <t>Employee_100</t>
        </is>
      </c>
      <c r="C39" s="4" t="inlineStr">
        <is>
          <t>Sales</t>
        </is>
      </c>
      <c r="D39" s="6" t="n">
        <v>26596127</v>
      </c>
      <c r="E39" s="6" t="n">
        <v>1737761</v>
      </c>
      <c r="F39" s="6" t="n">
        <v>1229734</v>
      </c>
      <c r="G39" s="7">
        <f>D39+E39-F39</f>
        <v/>
      </c>
      <c r="H39" s="8">
        <f>E39/D39</f>
        <v/>
      </c>
      <c r="I39" s="8">
        <f>F39/D39</f>
        <v/>
      </c>
    </row>
    <row r="40" ht="20" customHeight="1">
      <c r="A40" s="9" t="inlineStr">
        <is>
          <t>E111</t>
        </is>
      </c>
      <c r="B40" s="10" t="inlineStr">
        <is>
          <t>Employee_111</t>
        </is>
      </c>
      <c r="C40" s="9" t="inlineStr">
        <is>
          <t>Sales</t>
        </is>
      </c>
      <c r="D40" s="11" t="n">
        <v>12234287</v>
      </c>
      <c r="E40" s="11" t="n">
        <v>2307001</v>
      </c>
      <c r="F40" s="11" t="n">
        <v>1309288</v>
      </c>
      <c r="G40" s="12">
        <f>D40+E40-F40</f>
        <v/>
      </c>
      <c r="H40" s="13">
        <f>E40/D40</f>
        <v/>
      </c>
      <c r="I40" s="13">
        <f>F40/D40</f>
        <v/>
      </c>
    </row>
    <row r="41" ht="20" customHeight="1">
      <c r="A41" s="4" t="inlineStr">
        <is>
          <t>E195</t>
        </is>
      </c>
      <c r="B41" s="5" t="inlineStr">
        <is>
          <t>Employee_195</t>
        </is>
      </c>
      <c r="C41" s="4" t="inlineStr">
        <is>
          <t>Sales</t>
        </is>
      </c>
      <c r="D41" s="6" t="n">
        <v>25565226</v>
      </c>
      <c r="E41" s="6" t="n">
        <v>3024963</v>
      </c>
      <c r="F41" s="6" t="n">
        <v>141933</v>
      </c>
      <c r="G41" s="7">
        <f>D41+E41-F41</f>
        <v/>
      </c>
      <c r="H41" s="8">
        <f>E41/D41</f>
        <v/>
      </c>
      <c r="I41" s="8">
        <f>F41/D41</f>
        <v/>
      </c>
    </row>
    <row r="42" ht="25" customHeight="1">
      <c r="A42" s="14" t="inlineStr">
        <is>
          <t>TỔNG CỘNG</t>
        </is>
      </c>
      <c r="B42" s="15" t="inlineStr">
        <is>
          <t>37 nhân sự</t>
        </is>
      </c>
      <c r="C42" s="14" t="inlineStr">
        <is>
          <t>-</t>
        </is>
      </c>
      <c r="D42" s="16">
        <f>SUM(D5:D41)</f>
        <v/>
      </c>
      <c r="E42" s="16">
        <f>SUM(E5:E41)</f>
        <v/>
      </c>
      <c r="F42" s="16">
        <f>SUM(F5:F41)</f>
        <v/>
      </c>
      <c r="G42" s="16">
        <f>SUM(G5:G41)</f>
        <v/>
      </c>
      <c r="H42" s="17">
        <f>E42/D42</f>
        <v/>
      </c>
      <c r="I42" s="17">
        <f>F42/D42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2026-09-09T14:46:58Z</dcterms:created>
  <dcterms:modified xsi:type="dcterms:W3CDTF">2026-09-09T14:46:58Z</dcterms:modified>
</cp:coreProperties>
</file>