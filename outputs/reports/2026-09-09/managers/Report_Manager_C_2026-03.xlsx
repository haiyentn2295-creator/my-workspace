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_Manager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₫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</font>
    <font>
      <name val="Segoe UI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5" borderId="2" applyAlignment="1" pivotButton="0" quotePrefix="0" xfId="0">
      <alignment horizontal="center"/>
    </xf>
    <xf numFmtId="0" fontId="6" fillId="5" borderId="2" applyAlignment="1" pivotButton="0" quotePrefix="0" xfId="0">
      <alignment horizontal="left"/>
    </xf>
    <xf numFmtId="164" fontId="6" fillId="5" borderId="2" applyAlignment="1" pivotButton="0" quotePrefix="0" xfId="0">
      <alignment horizontal="right"/>
    </xf>
    <xf numFmtId="165" fontId="6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2" customWidth="1" min="4" max="4"/>
    <col width="18" customWidth="1" min="5" max="5"/>
    <col width="18" customWidth="1" min="6" max="6"/>
    <col width="22" customWidth="1" min="7" max="7"/>
    <col width="16" customWidth="1" min="8" max="8"/>
    <col width="16" customWidth="1" min="9" max="9"/>
  </cols>
  <sheetData>
    <row r="1" ht="40" customHeight="1">
      <c r="A1" s="1" t="inlineStr">
        <is>
          <t>BÁO CÁO CHI TIẾT LƯƠNG &amp; VẬN HÀNH THÁNG 2026-03 — MANAGER_C</t>
        </is>
      </c>
    </row>
    <row r="2" ht="20" customHeight="1">
      <c r="A2" s="2" t="inlineStr">
        <is>
          <t>Bộ phận quản lý: Đa phòng ban | Nhân sự: 51 nhân viên | Xuất ngày: 09/09/2026</t>
        </is>
      </c>
    </row>
    <row r="3"/>
    <row r="4" ht="26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Bộ Phận</t>
        </is>
      </c>
      <c r="D4" s="3" t="inlineStr">
        <is>
          <t>Lương Cơ Bản (VNĐ)</t>
        </is>
      </c>
      <c r="E4" s="3" t="inlineStr">
        <is>
          <t>Thưởng (VNĐ)</t>
        </is>
      </c>
      <c r="F4" s="3" t="inlineStr">
        <is>
          <t>Phạt (VNĐ)</t>
        </is>
      </c>
      <c r="G4" s="3" t="inlineStr">
        <is>
          <t>Thực Nhận (VNĐ)</t>
        </is>
      </c>
      <c r="H4" s="3" t="inlineStr">
        <is>
          <t>% Thưởng/LCB</t>
        </is>
      </c>
      <c r="I4" s="3" t="inlineStr">
        <is>
          <t>% Phạt/LCB</t>
        </is>
      </c>
    </row>
    <row r="5" ht="20" customHeight="1">
      <c r="A5" s="4" t="inlineStr">
        <is>
          <t>E036</t>
        </is>
      </c>
      <c r="B5" s="5" t="inlineStr">
        <is>
          <t>Employee_36</t>
        </is>
      </c>
      <c r="C5" s="4" t="inlineStr">
        <is>
          <t>Finance</t>
        </is>
      </c>
      <c r="D5" s="6" t="n">
        <v>11509789</v>
      </c>
      <c r="E5" s="6" t="n">
        <v>1349096</v>
      </c>
      <c r="F5" s="6" t="n">
        <v>691648</v>
      </c>
      <c r="G5" s="7">
        <f>D5+E5-F5</f>
        <v/>
      </c>
      <c r="H5" s="8">
        <f>E5/D5</f>
        <v/>
      </c>
      <c r="I5" s="8">
        <f>F5/D5</f>
        <v/>
      </c>
    </row>
    <row r="6" ht="20" customHeight="1">
      <c r="A6" s="9" t="inlineStr">
        <is>
          <t>E052</t>
        </is>
      </c>
      <c r="B6" s="10" t="inlineStr">
        <is>
          <t>Employee_52</t>
        </is>
      </c>
      <c r="C6" s="9" t="inlineStr">
        <is>
          <t>Finance</t>
        </is>
      </c>
      <c r="D6" s="11" t="n">
        <v>26519275</v>
      </c>
      <c r="E6" s="11" t="n">
        <v>4558621</v>
      </c>
      <c r="F6" s="11" t="n">
        <v>791066</v>
      </c>
      <c r="G6" s="12">
        <f>D6+E6-F6</f>
        <v/>
      </c>
      <c r="H6" s="13">
        <f>E6/D6</f>
        <v/>
      </c>
      <c r="I6" s="13">
        <f>F6/D6</f>
        <v/>
      </c>
    </row>
    <row r="7" ht="20" customHeight="1">
      <c r="A7" s="4" t="inlineStr">
        <is>
          <t>E075</t>
        </is>
      </c>
      <c r="B7" s="5" t="inlineStr">
        <is>
          <t>Employee_75</t>
        </is>
      </c>
      <c r="C7" s="4" t="inlineStr">
        <is>
          <t>Finance</t>
        </is>
      </c>
      <c r="D7" s="6" t="n">
        <v>8736170</v>
      </c>
      <c r="E7" s="6" t="n">
        <v>3320259</v>
      </c>
      <c r="F7" s="6" t="n">
        <v>575627</v>
      </c>
      <c r="G7" s="7">
        <f>D7+E7-F7</f>
        <v/>
      </c>
      <c r="H7" s="8">
        <f>E7/D7</f>
        <v/>
      </c>
      <c r="I7" s="8">
        <f>F7/D7</f>
        <v/>
      </c>
    </row>
    <row r="8" ht="20" customHeight="1">
      <c r="A8" s="9" t="inlineStr">
        <is>
          <t>E082</t>
        </is>
      </c>
      <c r="B8" s="10" t="inlineStr">
        <is>
          <t>Employee_82</t>
        </is>
      </c>
      <c r="C8" s="9" t="inlineStr">
        <is>
          <t>Finance</t>
        </is>
      </c>
      <c r="D8" s="11" t="n">
        <v>13521194</v>
      </c>
      <c r="E8" s="11" t="n">
        <v>2155621</v>
      </c>
      <c r="F8" s="11" t="n">
        <v>1916899</v>
      </c>
      <c r="G8" s="12">
        <f>D8+E8-F8</f>
        <v/>
      </c>
      <c r="H8" s="13">
        <f>E8/D8</f>
        <v/>
      </c>
      <c r="I8" s="13">
        <f>F8/D8</f>
        <v/>
      </c>
    </row>
    <row r="9" ht="20" customHeight="1">
      <c r="A9" s="4" t="inlineStr">
        <is>
          <t>E117</t>
        </is>
      </c>
      <c r="B9" s="5" t="inlineStr">
        <is>
          <t>Employee_117</t>
        </is>
      </c>
      <c r="C9" s="4" t="inlineStr">
        <is>
          <t>Finance</t>
        </is>
      </c>
      <c r="D9" s="6" t="n">
        <v>13121712</v>
      </c>
      <c r="E9" s="6" t="n">
        <v>3978447</v>
      </c>
      <c r="F9" s="6" t="n">
        <v>140788</v>
      </c>
      <c r="G9" s="7">
        <f>D9+E9-F9</f>
        <v/>
      </c>
      <c r="H9" s="8">
        <f>E9/D9</f>
        <v/>
      </c>
      <c r="I9" s="8">
        <f>F9/D9</f>
        <v/>
      </c>
    </row>
    <row r="10" ht="20" customHeight="1">
      <c r="A10" s="9" t="inlineStr">
        <is>
          <t>E126</t>
        </is>
      </c>
      <c r="B10" s="10" t="inlineStr">
        <is>
          <t>Employee_126</t>
        </is>
      </c>
      <c r="C10" s="9" t="inlineStr">
        <is>
          <t>Finance</t>
        </is>
      </c>
      <c r="D10" s="11" t="n">
        <v>19778391</v>
      </c>
      <c r="E10" s="11" t="n">
        <v>51219</v>
      </c>
      <c r="F10" s="11" t="n">
        <v>380435</v>
      </c>
      <c r="G10" s="12">
        <f>D10+E10-F10</f>
        <v/>
      </c>
      <c r="H10" s="13">
        <f>E10/D10</f>
        <v/>
      </c>
      <c r="I10" s="13">
        <f>F10/D10</f>
        <v/>
      </c>
    </row>
    <row r="11" ht="20" customHeight="1">
      <c r="A11" s="4" t="inlineStr">
        <is>
          <t>E130</t>
        </is>
      </c>
      <c r="B11" s="5" t="inlineStr">
        <is>
          <t>Employee_130</t>
        </is>
      </c>
      <c r="C11" s="4" t="inlineStr">
        <is>
          <t>Finance</t>
        </is>
      </c>
      <c r="D11" s="6" t="n">
        <v>27045279</v>
      </c>
      <c r="E11" s="6" t="n">
        <v>712671</v>
      </c>
      <c r="F11" s="6" t="n">
        <v>1852502</v>
      </c>
      <c r="G11" s="7">
        <f>D11+E11-F11</f>
        <v/>
      </c>
      <c r="H11" s="8">
        <f>E11/D11</f>
        <v/>
      </c>
      <c r="I11" s="8">
        <f>F11/D11</f>
        <v/>
      </c>
    </row>
    <row r="12" ht="20" customHeight="1">
      <c r="A12" s="9" t="inlineStr">
        <is>
          <t>E154</t>
        </is>
      </c>
      <c r="B12" s="10" t="inlineStr">
        <is>
          <t>Employee_154</t>
        </is>
      </c>
      <c r="C12" s="9" t="inlineStr">
        <is>
          <t>Finance</t>
        </is>
      </c>
      <c r="D12" s="11" t="n">
        <v>27844754</v>
      </c>
      <c r="E12" s="11" t="n">
        <v>471205</v>
      </c>
      <c r="F12" s="11" t="n">
        <v>738076</v>
      </c>
      <c r="G12" s="12">
        <f>D12+E12-F12</f>
        <v/>
      </c>
      <c r="H12" s="13">
        <f>E12/D12</f>
        <v/>
      </c>
      <c r="I12" s="13">
        <f>F12/D12</f>
        <v/>
      </c>
    </row>
    <row r="13" ht="20" customHeight="1">
      <c r="A13" s="4" t="inlineStr">
        <is>
          <t>E009</t>
        </is>
      </c>
      <c r="B13" s="5" t="inlineStr">
        <is>
          <t>Employee_9</t>
        </is>
      </c>
      <c r="C13" s="4" t="inlineStr">
        <is>
          <t>HR</t>
        </is>
      </c>
      <c r="D13" s="6" t="n">
        <v>18142417</v>
      </c>
      <c r="E13" s="6" t="n">
        <v>118685</v>
      </c>
      <c r="F13" s="6" t="n">
        <v>1484822</v>
      </c>
      <c r="G13" s="7">
        <f>D13+E13-F13</f>
        <v/>
      </c>
      <c r="H13" s="8">
        <f>E13/D13</f>
        <v/>
      </c>
      <c r="I13" s="8">
        <f>F13/D13</f>
        <v/>
      </c>
    </row>
    <row r="14" ht="20" customHeight="1">
      <c r="A14" s="9" t="inlineStr">
        <is>
          <t>E011</t>
        </is>
      </c>
      <c r="B14" s="10" t="inlineStr">
        <is>
          <t>Employee_11</t>
        </is>
      </c>
      <c r="C14" s="9" t="inlineStr">
        <is>
          <t>HR</t>
        </is>
      </c>
      <c r="D14" s="11" t="n">
        <v>29403353</v>
      </c>
      <c r="E14" s="11" t="n">
        <v>4117788</v>
      </c>
      <c r="F14" s="11" t="n">
        <v>215141</v>
      </c>
      <c r="G14" s="12">
        <f>D14+E14-F14</f>
        <v/>
      </c>
      <c r="H14" s="13">
        <f>E14/D14</f>
        <v/>
      </c>
      <c r="I14" s="13">
        <f>F14/D14</f>
        <v/>
      </c>
    </row>
    <row r="15" ht="20" customHeight="1">
      <c r="A15" s="4" t="inlineStr">
        <is>
          <t>E013</t>
        </is>
      </c>
      <c r="B15" s="5" t="inlineStr">
        <is>
          <t>Employee_13</t>
        </is>
      </c>
      <c r="C15" s="4" t="inlineStr">
        <is>
          <t>HR</t>
        </is>
      </c>
      <c r="D15" s="6" t="n">
        <v>9723916</v>
      </c>
      <c r="E15" s="6" t="n">
        <v>2117942</v>
      </c>
      <c r="F15" s="6" t="n">
        <v>1973553</v>
      </c>
      <c r="G15" s="7">
        <f>D15+E15-F15</f>
        <v/>
      </c>
      <c r="H15" s="8">
        <f>E15/D15</f>
        <v/>
      </c>
      <c r="I15" s="8">
        <f>F15/D15</f>
        <v/>
      </c>
    </row>
    <row r="16" ht="20" customHeight="1">
      <c r="A16" s="9" t="inlineStr">
        <is>
          <t>E024</t>
        </is>
      </c>
      <c r="B16" s="10" t="inlineStr">
        <is>
          <t>Employee_24</t>
        </is>
      </c>
      <c r="C16" s="9" t="inlineStr">
        <is>
          <t>HR</t>
        </is>
      </c>
      <c r="D16" s="11" t="n">
        <v>22265296</v>
      </c>
      <c r="E16" s="11" t="n">
        <v>962813</v>
      </c>
      <c r="F16" s="11" t="n">
        <v>1142030</v>
      </c>
      <c r="G16" s="12">
        <f>D16+E16-F16</f>
        <v/>
      </c>
      <c r="H16" s="13">
        <f>E16/D16</f>
        <v/>
      </c>
      <c r="I16" s="13">
        <f>F16/D16</f>
        <v/>
      </c>
    </row>
    <row r="17" ht="20" customHeight="1">
      <c r="A17" s="4" t="inlineStr">
        <is>
          <t>E034</t>
        </is>
      </c>
      <c r="B17" s="5" t="inlineStr">
        <is>
          <t>Employee_34</t>
        </is>
      </c>
      <c r="C17" s="4" t="inlineStr">
        <is>
          <t>HR</t>
        </is>
      </c>
      <c r="D17" s="6" t="n">
        <v>27640403</v>
      </c>
      <c r="E17" s="6" t="n">
        <v>3656468</v>
      </c>
      <c r="F17" s="6" t="n">
        <v>1331240</v>
      </c>
      <c r="G17" s="7">
        <f>D17+E17-F17</f>
        <v/>
      </c>
      <c r="H17" s="8">
        <f>E17/D17</f>
        <v/>
      </c>
      <c r="I17" s="8">
        <f>F17/D17</f>
        <v/>
      </c>
    </row>
    <row r="18" ht="20" customHeight="1">
      <c r="A18" s="9" t="inlineStr">
        <is>
          <t>E073</t>
        </is>
      </c>
      <c r="B18" s="10" t="inlineStr">
        <is>
          <t>Employee_73</t>
        </is>
      </c>
      <c r="C18" s="9" t="inlineStr">
        <is>
          <t>HR</t>
        </is>
      </c>
      <c r="D18" s="11" t="n">
        <v>20908163</v>
      </c>
      <c r="E18" s="11" t="n">
        <v>4053443</v>
      </c>
      <c r="F18" s="11" t="n">
        <v>223668</v>
      </c>
      <c r="G18" s="12">
        <f>D18+E18-F18</f>
        <v/>
      </c>
      <c r="H18" s="13">
        <f>E18/D18</f>
        <v/>
      </c>
      <c r="I18" s="13">
        <f>F18/D18</f>
        <v/>
      </c>
    </row>
    <row r="19" ht="20" customHeight="1">
      <c r="A19" s="4" t="inlineStr">
        <is>
          <t>E077</t>
        </is>
      </c>
      <c r="B19" s="5" t="inlineStr">
        <is>
          <t>Employee_77</t>
        </is>
      </c>
      <c r="C19" s="4" t="inlineStr">
        <is>
          <t>HR</t>
        </is>
      </c>
      <c r="D19" s="6" t="n">
        <v>28369721</v>
      </c>
      <c r="E19" s="6" t="n">
        <v>2955482</v>
      </c>
      <c r="F19" s="6" t="n">
        <v>459285</v>
      </c>
      <c r="G19" s="7">
        <f>D19+E19-F19</f>
        <v/>
      </c>
      <c r="H19" s="8">
        <f>E19/D19</f>
        <v/>
      </c>
      <c r="I19" s="8">
        <f>F19/D19</f>
        <v/>
      </c>
    </row>
    <row r="20" ht="20" customHeight="1">
      <c r="A20" s="9" t="inlineStr">
        <is>
          <t>E080</t>
        </is>
      </c>
      <c r="B20" s="10" t="inlineStr">
        <is>
          <t>Employee_80</t>
        </is>
      </c>
      <c r="C20" s="9" t="inlineStr">
        <is>
          <t>HR</t>
        </is>
      </c>
      <c r="D20" s="11" t="n">
        <v>11024374</v>
      </c>
      <c r="E20" s="11" t="n">
        <v>2475565</v>
      </c>
      <c r="F20" s="11" t="n">
        <v>685179</v>
      </c>
      <c r="G20" s="12">
        <f>D20+E20-F20</f>
        <v/>
      </c>
      <c r="H20" s="13">
        <f>E20/D20</f>
        <v/>
      </c>
      <c r="I20" s="13">
        <f>F20/D20</f>
        <v/>
      </c>
    </row>
    <row r="21" ht="20" customHeight="1">
      <c r="A21" s="4" t="inlineStr">
        <is>
          <t>E095</t>
        </is>
      </c>
      <c r="B21" s="5" t="inlineStr">
        <is>
          <t>Employee_95</t>
        </is>
      </c>
      <c r="C21" s="4" t="inlineStr">
        <is>
          <t>HR</t>
        </is>
      </c>
      <c r="D21" s="6" t="n">
        <v>22877467</v>
      </c>
      <c r="E21" s="6" t="n">
        <v>3730379</v>
      </c>
      <c r="F21" s="6" t="n">
        <v>1993458</v>
      </c>
      <c r="G21" s="7">
        <f>D21+E21-F21</f>
        <v/>
      </c>
      <c r="H21" s="8">
        <f>E21/D21</f>
        <v/>
      </c>
      <c r="I21" s="8">
        <f>F21/D21</f>
        <v/>
      </c>
    </row>
    <row r="22" ht="20" customHeight="1">
      <c r="A22" s="9" t="inlineStr">
        <is>
          <t>E103</t>
        </is>
      </c>
      <c r="B22" s="10" t="inlineStr">
        <is>
          <t>Employee_103</t>
        </is>
      </c>
      <c r="C22" s="9" t="inlineStr">
        <is>
          <t>HR</t>
        </is>
      </c>
      <c r="D22" s="11" t="n">
        <v>11688516</v>
      </c>
      <c r="E22" s="11" t="n">
        <v>216259</v>
      </c>
      <c r="F22" s="11" t="n">
        <v>276411</v>
      </c>
      <c r="G22" s="12">
        <f>D22+E22-F22</f>
        <v/>
      </c>
      <c r="H22" s="13">
        <f>E22/D22</f>
        <v/>
      </c>
      <c r="I22" s="13">
        <f>F22/D22</f>
        <v/>
      </c>
    </row>
    <row r="23" ht="20" customHeight="1">
      <c r="A23" s="4" t="inlineStr">
        <is>
          <t>E119</t>
        </is>
      </c>
      <c r="B23" s="5" t="inlineStr">
        <is>
          <t>Employee_119</t>
        </is>
      </c>
      <c r="C23" s="4" t="inlineStr">
        <is>
          <t>HR</t>
        </is>
      </c>
      <c r="D23" s="6" t="n">
        <v>26668704</v>
      </c>
      <c r="E23" s="6" t="n">
        <v>503156</v>
      </c>
      <c r="F23" s="6" t="n">
        <v>1229906</v>
      </c>
      <c r="G23" s="7">
        <f>D23+E23-F23</f>
        <v/>
      </c>
      <c r="H23" s="8">
        <f>E23/D23</f>
        <v/>
      </c>
      <c r="I23" s="8">
        <f>F23/D23</f>
        <v/>
      </c>
    </row>
    <row r="24" ht="20" customHeight="1">
      <c r="A24" s="9" t="inlineStr">
        <is>
          <t>E124</t>
        </is>
      </c>
      <c r="B24" s="10" t="inlineStr">
        <is>
          <t>Employee_124</t>
        </is>
      </c>
      <c r="C24" s="9" t="inlineStr">
        <is>
          <t>HR</t>
        </is>
      </c>
      <c r="D24" s="11" t="n">
        <v>22398623</v>
      </c>
      <c r="E24" s="11" t="n">
        <v>4705721</v>
      </c>
      <c r="F24" s="11" t="n">
        <v>1609422</v>
      </c>
      <c r="G24" s="12">
        <f>D24+E24-F24</f>
        <v/>
      </c>
      <c r="H24" s="13">
        <f>E24/D24</f>
        <v/>
      </c>
      <c r="I24" s="13">
        <f>F24/D24</f>
        <v/>
      </c>
    </row>
    <row r="25" ht="20" customHeight="1">
      <c r="A25" s="4" t="inlineStr">
        <is>
          <t>E147</t>
        </is>
      </c>
      <c r="B25" s="5" t="inlineStr">
        <is>
          <t>Employee_147</t>
        </is>
      </c>
      <c r="C25" s="4" t="inlineStr">
        <is>
          <t>HR</t>
        </is>
      </c>
      <c r="D25" s="6" t="n">
        <v>10562866</v>
      </c>
      <c r="E25" s="6" t="n">
        <v>4282244</v>
      </c>
      <c r="F25" s="6" t="n">
        <v>1327968</v>
      </c>
      <c r="G25" s="7">
        <f>D25+E25-F25</f>
        <v/>
      </c>
      <c r="H25" s="8">
        <f>E25/D25</f>
        <v/>
      </c>
      <c r="I25" s="8">
        <f>F25/D25</f>
        <v/>
      </c>
    </row>
    <row r="26" ht="20" customHeight="1">
      <c r="A26" s="9" t="inlineStr">
        <is>
          <t>E186</t>
        </is>
      </c>
      <c r="B26" s="10" t="inlineStr">
        <is>
          <t>Employee_186</t>
        </is>
      </c>
      <c r="C26" s="9" t="inlineStr">
        <is>
          <t>HR</t>
        </is>
      </c>
      <c r="D26" s="11" t="n">
        <v>8945817</v>
      </c>
      <c r="E26" s="11" t="n">
        <v>2673322</v>
      </c>
      <c r="F26" s="11" t="n">
        <v>1952083</v>
      </c>
      <c r="G26" s="12">
        <f>D26+E26-F26</f>
        <v/>
      </c>
      <c r="H26" s="13">
        <f>E26/D26</f>
        <v/>
      </c>
      <c r="I26" s="13">
        <f>F26/D26</f>
        <v/>
      </c>
    </row>
    <row r="27" ht="20" customHeight="1">
      <c r="A27" s="4" t="inlineStr">
        <is>
          <t>E199</t>
        </is>
      </c>
      <c r="B27" s="5" t="inlineStr">
        <is>
          <t>Employee_199</t>
        </is>
      </c>
      <c r="C27" s="4" t="inlineStr">
        <is>
          <t>HR</t>
        </is>
      </c>
      <c r="D27" s="6" t="n">
        <v>9487658</v>
      </c>
      <c r="E27" s="6" t="n">
        <v>2955298</v>
      </c>
      <c r="F27" s="6" t="n">
        <v>1145073</v>
      </c>
      <c r="G27" s="7">
        <f>D27+E27-F27</f>
        <v/>
      </c>
      <c r="H27" s="8">
        <f>E27/D27</f>
        <v/>
      </c>
      <c r="I27" s="8">
        <f>F27/D27</f>
        <v/>
      </c>
    </row>
    <row r="28" ht="20" customHeight="1">
      <c r="A28" s="9" t="inlineStr">
        <is>
          <t>E200</t>
        </is>
      </c>
      <c r="B28" s="10" t="inlineStr">
        <is>
          <t>Employee_200</t>
        </is>
      </c>
      <c r="C28" s="9" t="inlineStr">
        <is>
          <t>HR</t>
        </is>
      </c>
      <c r="D28" s="11" t="n">
        <v>23590157</v>
      </c>
      <c r="E28" s="11" t="n">
        <v>4014210</v>
      </c>
      <c r="F28" s="11" t="n">
        <v>1324846</v>
      </c>
      <c r="G28" s="12">
        <f>D28+E28-F28</f>
        <v/>
      </c>
      <c r="H28" s="13">
        <f>E28/D28</f>
        <v/>
      </c>
      <c r="I28" s="13">
        <f>F28/D28</f>
        <v/>
      </c>
    </row>
    <row r="29" ht="20" customHeight="1">
      <c r="A29" s="4" t="inlineStr">
        <is>
          <t>E004</t>
        </is>
      </c>
      <c r="B29" s="5" t="inlineStr">
        <is>
          <t>Employee_4</t>
        </is>
      </c>
      <c r="C29" s="4" t="inlineStr">
        <is>
          <t>Operations</t>
        </is>
      </c>
      <c r="D29" s="6" t="n">
        <v>26467972</v>
      </c>
      <c r="E29" s="6" t="n">
        <v>2774878</v>
      </c>
      <c r="F29" s="6" t="n">
        <v>737800</v>
      </c>
      <c r="G29" s="7">
        <f>D29+E29-F29</f>
        <v/>
      </c>
      <c r="H29" s="8">
        <f>E29/D29</f>
        <v/>
      </c>
      <c r="I29" s="8">
        <f>F29/D29</f>
        <v/>
      </c>
    </row>
    <row r="30" ht="20" customHeight="1">
      <c r="A30" s="9" t="inlineStr">
        <is>
          <t>E023</t>
        </is>
      </c>
      <c r="B30" s="10" t="inlineStr">
        <is>
          <t>Employee_23</t>
        </is>
      </c>
      <c r="C30" s="9" t="inlineStr">
        <is>
          <t>Operations</t>
        </is>
      </c>
      <c r="D30" s="11" t="n">
        <v>10388396</v>
      </c>
      <c r="E30" s="11" t="n">
        <v>1958100</v>
      </c>
      <c r="F30" s="11" t="n">
        <v>1937581</v>
      </c>
      <c r="G30" s="12">
        <f>D30+E30-F30</f>
        <v/>
      </c>
      <c r="H30" s="13">
        <f>E30/D30</f>
        <v/>
      </c>
      <c r="I30" s="13">
        <f>F30/D30</f>
        <v/>
      </c>
    </row>
    <row r="31" ht="20" customHeight="1">
      <c r="A31" s="4" t="inlineStr">
        <is>
          <t>E027</t>
        </is>
      </c>
      <c r="B31" s="5" t="inlineStr">
        <is>
          <t>Employee_27</t>
        </is>
      </c>
      <c r="C31" s="4" t="inlineStr">
        <is>
          <t>Operations</t>
        </is>
      </c>
      <c r="D31" s="6" t="n">
        <v>12172616</v>
      </c>
      <c r="E31" s="6" t="n">
        <v>3931723</v>
      </c>
      <c r="F31" s="6" t="n">
        <v>1444262</v>
      </c>
      <c r="G31" s="7">
        <f>D31+E31-F31</f>
        <v/>
      </c>
      <c r="H31" s="8">
        <f>E31/D31</f>
        <v/>
      </c>
      <c r="I31" s="8">
        <f>F31/D31</f>
        <v/>
      </c>
    </row>
    <row r="32" ht="20" customHeight="1">
      <c r="A32" s="9" t="inlineStr">
        <is>
          <t>E028</t>
        </is>
      </c>
      <c r="B32" s="10" t="inlineStr">
        <is>
          <t>Employee_28</t>
        </is>
      </c>
      <c r="C32" s="9" t="inlineStr">
        <is>
          <t>Operations</t>
        </is>
      </c>
      <c r="D32" s="11" t="n">
        <v>17135066</v>
      </c>
      <c r="E32" s="11" t="n">
        <v>4198264</v>
      </c>
      <c r="F32" s="11" t="n">
        <v>1132423</v>
      </c>
      <c r="G32" s="12">
        <f>D32+E32-F32</f>
        <v/>
      </c>
      <c r="H32" s="13">
        <f>E32/D32</f>
        <v/>
      </c>
      <c r="I32" s="13">
        <f>F32/D32</f>
        <v/>
      </c>
    </row>
    <row r="33" ht="20" customHeight="1">
      <c r="A33" s="4" t="inlineStr">
        <is>
          <t>E041</t>
        </is>
      </c>
      <c r="B33" s="5" t="inlineStr">
        <is>
          <t>Employee_41</t>
        </is>
      </c>
      <c r="C33" s="4" t="inlineStr">
        <is>
          <t>Operations</t>
        </is>
      </c>
      <c r="D33" s="6" t="n">
        <v>28985235</v>
      </c>
      <c r="E33" s="6" t="n">
        <v>3708108</v>
      </c>
      <c r="F33" s="6" t="n">
        <v>1593815</v>
      </c>
      <c r="G33" s="7">
        <f>D33+E33-F33</f>
        <v/>
      </c>
      <c r="H33" s="8">
        <f>E33/D33</f>
        <v/>
      </c>
      <c r="I33" s="8">
        <f>F33/D33</f>
        <v/>
      </c>
    </row>
    <row r="34" ht="20" customHeight="1">
      <c r="A34" s="9" t="inlineStr">
        <is>
          <t>E043</t>
        </is>
      </c>
      <c r="B34" s="10" t="inlineStr">
        <is>
          <t>Employee_43</t>
        </is>
      </c>
      <c r="C34" s="9" t="inlineStr">
        <is>
          <t>Operations</t>
        </is>
      </c>
      <c r="D34" s="11" t="n">
        <v>24264229</v>
      </c>
      <c r="E34" s="11" t="n">
        <v>1018595</v>
      </c>
      <c r="F34" s="11" t="n">
        <v>60543</v>
      </c>
      <c r="G34" s="12">
        <f>D34+E34-F34</f>
        <v/>
      </c>
      <c r="H34" s="13">
        <f>E34/D34</f>
        <v/>
      </c>
      <c r="I34" s="13">
        <f>F34/D34</f>
        <v/>
      </c>
    </row>
    <row r="35" ht="20" customHeight="1">
      <c r="A35" s="4" t="inlineStr">
        <is>
          <t>E047</t>
        </is>
      </c>
      <c r="B35" s="5" t="inlineStr">
        <is>
          <t>Employee_47</t>
        </is>
      </c>
      <c r="C35" s="4" t="inlineStr">
        <is>
          <t>Operations</t>
        </is>
      </c>
      <c r="D35" s="6" t="n">
        <v>24189999</v>
      </c>
      <c r="E35" s="6" t="n">
        <v>3961266</v>
      </c>
      <c r="F35" s="6" t="n">
        <v>511140</v>
      </c>
      <c r="G35" s="7">
        <f>D35+E35-F35</f>
        <v/>
      </c>
      <c r="H35" s="8">
        <f>E35/D35</f>
        <v/>
      </c>
      <c r="I35" s="8">
        <f>F35/D35</f>
        <v/>
      </c>
    </row>
    <row r="36" ht="20" customHeight="1">
      <c r="A36" s="9" t="inlineStr">
        <is>
          <t>E061</t>
        </is>
      </c>
      <c r="B36" s="10" t="inlineStr">
        <is>
          <t>Employee_61</t>
        </is>
      </c>
      <c r="C36" s="9" t="inlineStr">
        <is>
          <t>Operations</t>
        </is>
      </c>
      <c r="D36" s="11" t="n">
        <v>26153485</v>
      </c>
      <c r="E36" s="11" t="n">
        <v>301143</v>
      </c>
      <c r="F36" s="11" t="n">
        <v>1294906</v>
      </c>
      <c r="G36" s="12">
        <f>D36+E36-F36</f>
        <v/>
      </c>
      <c r="H36" s="13">
        <f>E36/D36</f>
        <v/>
      </c>
      <c r="I36" s="13">
        <f>F36/D36</f>
        <v/>
      </c>
    </row>
    <row r="37" ht="20" customHeight="1">
      <c r="A37" s="4" t="inlineStr">
        <is>
          <t>E072</t>
        </is>
      </c>
      <c r="B37" s="5" t="inlineStr">
        <is>
          <t>Employee_72</t>
        </is>
      </c>
      <c r="C37" s="4" t="inlineStr">
        <is>
          <t>Operations</t>
        </is>
      </c>
      <c r="D37" s="6" t="n">
        <v>16391903</v>
      </c>
      <c r="E37" s="6" t="n">
        <v>3832216</v>
      </c>
      <c r="F37" s="6" t="n">
        <v>1772730</v>
      </c>
      <c r="G37" s="7">
        <f>D37+E37-F37</f>
        <v/>
      </c>
      <c r="H37" s="8">
        <f>E37/D37</f>
        <v/>
      </c>
      <c r="I37" s="8">
        <f>F37/D37</f>
        <v/>
      </c>
    </row>
    <row r="38" ht="20" customHeight="1">
      <c r="A38" s="9" t="inlineStr">
        <is>
          <t>E112</t>
        </is>
      </c>
      <c r="B38" s="10" t="inlineStr">
        <is>
          <t>Employee_112</t>
        </is>
      </c>
      <c r="C38" s="9" t="inlineStr">
        <is>
          <t>Operations</t>
        </is>
      </c>
      <c r="D38" s="11" t="n">
        <v>28045144</v>
      </c>
      <c r="E38" s="11" t="n">
        <v>4450633</v>
      </c>
      <c r="F38" s="11" t="n">
        <v>618445</v>
      </c>
      <c r="G38" s="12">
        <f>D38+E38-F38</f>
        <v/>
      </c>
      <c r="H38" s="13">
        <f>E38/D38</f>
        <v/>
      </c>
      <c r="I38" s="13">
        <f>F38/D38</f>
        <v/>
      </c>
    </row>
    <row r="39" ht="20" customHeight="1">
      <c r="A39" s="4" t="inlineStr">
        <is>
          <t>E115</t>
        </is>
      </c>
      <c r="B39" s="5" t="inlineStr">
        <is>
          <t>Employee_115</t>
        </is>
      </c>
      <c r="C39" s="4" t="inlineStr">
        <is>
          <t>Operations</t>
        </is>
      </c>
      <c r="D39" s="6" t="n">
        <v>21379164</v>
      </c>
      <c r="E39" s="6" t="n">
        <v>3489574</v>
      </c>
      <c r="F39" s="6" t="n">
        <v>1530108</v>
      </c>
      <c r="G39" s="7">
        <f>D39+E39-F39</f>
        <v/>
      </c>
      <c r="H39" s="8">
        <f>E39/D39</f>
        <v/>
      </c>
      <c r="I39" s="8">
        <f>F39/D39</f>
        <v/>
      </c>
    </row>
    <row r="40" ht="20" customHeight="1">
      <c r="A40" s="9" t="inlineStr">
        <is>
          <t>E188</t>
        </is>
      </c>
      <c r="B40" s="10" t="inlineStr">
        <is>
          <t>Employee_188</t>
        </is>
      </c>
      <c r="C40" s="9" t="inlineStr">
        <is>
          <t>Operations</t>
        </is>
      </c>
      <c r="D40" s="11" t="n">
        <v>12657109</v>
      </c>
      <c r="E40" s="11" t="n">
        <v>3935180</v>
      </c>
      <c r="F40" s="11" t="n">
        <v>940785</v>
      </c>
      <c r="G40" s="12">
        <f>D40+E40-F40</f>
        <v/>
      </c>
      <c r="H40" s="13">
        <f>E40/D40</f>
        <v/>
      </c>
      <c r="I40" s="13">
        <f>F40/D40</f>
        <v/>
      </c>
    </row>
    <row r="41" ht="20" customHeight="1">
      <c r="A41" s="4" t="inlineStr">
        <is>
          <t>E008</t>
        </is>
      </c>
      <c r="B41" s="5" t="inlineStr">
        <is>
          <t>Employee_8</t>
        </is>
      </c>
      <c r="C41" s="4" t="inlineStr">
        <is>
          <t>Sales</t>
        </is>
      </c>
      <c r="D41" s="6" t="n">
        <v>14513505</v>
      </c>
      <c r="E41" s="6" t="n">
        <v>2485095</v>
      </c>
      <c r="F41" s="6" t="n">
        <v>477066</v>
      </c>
      <c r="G41" s="7">
        <f>D41+E41-F41</f>
        <v/>
      </c>
      <c r="H41" s="8">
        <f>E41/D41</f>
        <v/>
      </c>
      <c r="I41" s="8">
        <f>F41/D41</f>
        <v/>
      </c>
    </row>
    <row r="42" ht="20" customHeight="1">
      <c r="A42" s="9" t="inlineStr">
        <is>
          <t>E016</t>
        </is>
      </c>
      <c r="B42" s="10" t="inlineStr">
        <is>
          <t>Employee_16</t>
        </is>
      </c>
      <c r="C42" s="9" t="inlineStr">
        <is>
          <t>Sales</t>
        </is>
      </c>
      <c r="D42" s="11" t="n">
        <v>16327906</v>
      </c>
      <c r="E42" s="11" t="n">
        <v>993643</v>
      </c>
      <c r="F42" s="11" t="n">
        <v>1170363</v>
      </c>
      <c r="G42" s="12">
        <f>D42+E42-F42</f>
        <v/>
      </c>
      <c r="H42" s="13">
        <f>E42/D42</f>
        <v/>
      </c>
      <c r="I42" s="13">
        <f>F42/D42</f>
        <v/>
      </c>
    </row>
    <row r="43" ht="20" customHeight="1">
      <c r="A43" s="4" t="inlineStr">
        <is>
          <t>E039</t>
        </is>
      </c>
      <c r="B43" s="5" t="inlineStr">
        <is>
          <t>Employee_39</t>
        </is>
      </c>
      <c r="C43" s="4" t="inlineStr">
        <is>
          <t>Sales</t>
        </is>
      </c>
      <c r="D43" s="6" t="n">
        <v>21561864</v>
      </c>
      <c r="E43" s="6" t="n">
        <v>4316746</v>
      </c>
      <c r="F43" s="6" t="n">
        <v>1729997</v>
      </c>
      <c r="G43" s="7">
        <f>D43+E43-F43</f>
        <v/>
      </c>
      <c r="H43" s="8">
        <f>E43/D43</f>
        <v/>
      </c>
      <c r="I43" s="8">
        <f>F43/D43</f>
        <v/>
      </c>
    </row>
    <row r="44" ht="20" customHeight="1">
      <c r="A44" s="9" t="inlineStr">
        <is>
          <t>E050</t>
        </is>
      </c>
      <c r="B44" s="10" t="inlineStr">
        <is>
          <t>Employee_50</t>
        </is>
      </c>
      <c r="C44" s="9" t="inlineStr">
        <is>
          <t>Sales</t>
        </is>
      </c>
      <c r="D44" s="11" t="n">
        <v>17490501</v>
      </c>
      <c r="E44" s="11" t="n">
        <v>2504467</v>
      </c>
      <c r="F44" s="11" t="n">
        <v>1756314</v>
      </c>
      <c r="G44" s="12">
        <f>D44+E44-F44</f>
        <v/>
      </c>
      <c r="H44" s="13">
        <f>E44/D44</f>
        <v/>
      </c>
      <c r="I44" s="13">
        <f>F44/D44</f>
        <v/>
      </c>
    </row>
    <row r="45" ht="20" customHeight="1">
      <c r="A45" s="4" t="inlineStr">
        <is>
          <t>E070</t>
        </is>
      </c>
      <c r="B45" s="5" t="inlineStr">
        <is>
          <t>Employee_70</t>
        </is>
      </c>
      <c r="C45" s="4" t="inlineStr">
        <is>
          <t>Sales</t>
        </is>
      </c>
      <c r="D45" s="6" t="n">
        <v>23611308</v>
      </c>
      <c r="E45" s="6" t="n">
        <v>2412829</v>
      </c>
      <c r="F45" s="6" t="n">
        <v>1421053</v>
      </c>
      <c r="G45" s="7">
        <f>D45+E45-F45</f>
        <v/>
      </c>
      <c r="H45" s="8">
        <f>E45/D45</f>
        <v/>
      </c>
      <c r="I45" s="8">
        <f>F45/D45</f>
        <v/>
      </c>
    </row>
    <row r="46" ht="20" customHeight="1">
      <c r="A46" s="9" t="inlineStr">
        <is>
          <t>E085</t>
        </is>
      </c>
      <c r="B46" s="10" t="inlineStr">
        <is>
          <t>Employee_85</t>
        </is>
      </c>
      <c r="C46" s="9" t="inlineStr">
        <is>
          <t>Sales</t>
        </is>
      </c>
      <c r="D46" s="11" t="n">
        <v>21239725</v>
      </c>
      <c r="E46" s="11" t="n">
        <v>116758</v>
      </c>
      <c r="F46" s="11" t="n">
        <v>554609</v>
      </c>
      <c r="G46" s="12">
        <f>D46+E46-F46</f>
        <v/>
      </c>
      <c r="H46" s="13">
        <f>E46/D46</f>
        <v/>
      </c>
      <c r="I46" s="13">
        <f>F46/D46</f>
        <v/>
      </c>
    </row>
    <row r="47" ht="20" customHeight="1">
      <c r="A47" s="4" t="inlineStr">
        <is>
          <t>E097</t>
        </is>
      </c>
      <c r="B47" s="5" t="inlineStr">
        <is>
          <t>Employee_97</t>
        </is>
      </c>
      <c r="C47" s="4" t="inlineStr">
        <is>
          <t>Sales</t>
        </is>
      </c>
      <c r="D47" s="6" t="n">
        <v>21359349</v>
      </c>
      <c r="E47" s="6" t="n">
        <v>2314261</v>
      </c>
      <c r="F47" s="6" t="n">
        <v>398057</v>
      </c>
      <c r="G47" s="7">
        <f>D47+E47-F47</f>
        <v/>
      </c>
      <c r="H47" s="8">
        <f>E47/D47</f>
        <v/>
      </c>
      <c r="I47" s="8">
        <f>F47/D47</f>
        <v/>
      </c>
    </row>
    <row r="48" ht="20" customHeight="1">
      <c r="A48" s="9" t="inlineStr">
        <is>
          <t>E107</t>
        </is>
      </c>
      <c r="B48" s="10" t="inlineStr">
        <is>
          <t>Employee_107</t>
        </is>
      </c>
      <c r="C48" s="9" t="inlineStr">
        <is>
          <t>Sales</t>
        </is>
      </c>
      <c r="D48" s="11" t="n">
        <v>23166785</v>
      </c>
      <c r="E48" s="11" t="n">
        <v>4226505</v>
      </c>
      <c r="F48" s="11" t="n">
        <v>464623</v>
      </c>
      <c r="G48" s="12">
        <f>D48+E48-F48</f>
        <v/>
      </c>
      <c r="H48" s="13">
        <f>E48/D48</f>
        <v/>
      </c>
      <c r="I48" s="13">
        <f>F48/D48</f>
        <v/>
      </c>
    </row>
    <row r="49" ht="20" customHeight="1">
      <c r="A49" s="4" t="inlineStr">
        <is>
          <t>E120</t>
        </is>
      </c>
      <c r="B49" s="5" t="inlineStr">
        <is>
          <t>Employee_120</t>
        </is>
      </c>
      <c r="C49" s="4" t="inlineStr">
        <is>
          <t>Sales</t>
        </is>
      </c>
      <c r="D49" s="6" t="n">
        <v>21784450</v>
      </c>
      <c r="E49" s="6" t="n">
        <v>2966195</v>
      </c>
      <c r="F49" s="6" t="n">
        <v>1832087</v>
      </c>
      <c r="G49" s="7">
        <f>D49+E49-F49</f>
        <v/>
      </c>
      <c r="H49" s="8">
        <f>E49/D49</f>
        <v/>
      </c>
      <c r="I49" s="8">
        <f>F49/D49</f>
        <v/>
      </c>
    </row>
    <row r="50" ht="20" customHeight="1">
      <c r="A50" s="9" t="inlineStr">
        <is>
          <t>E140</t>
        </is>
      </c>
      <c r="B50" s="10" t="inlineStr">
        <is>
          <t>Employee_140</t>
        </is>
      </c>
      <c r="C50" s="9" t="inlineStr">
        <is>
          <t>Sales</t>
        </is>
      </c>
      <c r="D50" s="11" t="n">
        <v>21323497</v>
      </c>
      <c r="E50" s="11" t="n">
        <v>354857</v>
      </c>
      <c r="F50" s="11" t="n">
        <v>914818</v>
      </c>
      <c r="G50" s="12">
        <f>D50+E50-F50</f>
        <v/>
      </c>
      <c r="H50" s="13">
        <f>E50/D50</f>
        <v/>
      </c>
      <c r="I50" s="13">
        <f>F50/D50</f>
        <v/>
      </c>
    </row>
    <row r="51" ht="20" customHeight="1">
      <c r="A51" s="4" t="inlineStr">
        <is>
          <t>E160</t>
        </is>
      </c>
      <c r="B51" s="5" t="inlineStr">
        <is>
          <t>Employee_160</t>
        </is>
      </c>
      <c r="C51" s="4" t="inlineStr">
        <is>
          <t>Sales</t>
        </is>
      </c>
      <c r="D51" s="6" t="n">
        <v>24929855</v>
      </c>
      <c r="E51" s="6" t="n">
        <v>1447529</v>
      </c>
      <c r="F51" s="6" t="n">
        <v>82086</v>
      </c>
      <c r="G51" s="7">
        <f>D51+E51-F51</f>
        <v/>
      </c>
      <c r="H51" s="8">
        <f>E51/D51</f>
        <v/>
      </c>
      <c r="I51" s="8">
        <f>F51/D51</f>
        <v/>
      </c>
    </row>
    <row r="52" ht="20" customHeight="1">
      <c r="A52" s="9" t="inlineStr">
        <is>
          <t>E164</t>
        </is>
      </c>
      <c r="B52" s="10" t="inlineStr">
        <is>
          <t>Employee_164</t>
        </is>
      </c>
      <c r="C52" s="9" t="inlineStr">
        <is>
          <t>Sales</t>
        </is>
      </c>
      <c r="D52" s="11" t="n">
        <v>19062586</v>
      </c>
      <c r="E52" s="11" t="n">
        <v>792773</v>
      </c>
      <c r="F52" s="11" t="n">
        <v>1170133</v>
      </c>
      <c r="G52" s="12">
        <f>D52+E52-F52</f>
        <v/>
      </c>
      <c r="H52" s="13">
        <f>E52/D52</f>
        <v/>
      </c>
      <c r="I52" s="13">
        <f>F52/D52</f>
        <v/>
      </c>
    </row>
    <row r="53" ht="20" customHeight="1">
      <c r="A53" s="4" t="inlineStr">
        <is>
          <t>E180</t>
        </is>
      </c>
      <c r="B53" s="5" t="inlineStr">
        <is>
          <t>Employee_180</t>
        </is>
      </c>
      <c r="C53" s="4" t="inlineStr">
        <is>
          <t>Sales</t>
        </is>
      </c>
      <c r="D53" s="6" t="n">
        <v>29514398</v>
      </c>
      <c r="E53" s="6" t="n">
        <v>4031486</v>
      </c>
      <c r="F53" s="6" t="n">
        <v>1833156</v>
      </c>
      <c r="G53" s="7">
        <f>D53+E53-F53</f>
        <v/>
      </c>
      <c r="H53" s="8">
        <f>E53/D53</f>
        <v/>
      </c>
      <c r="I53" s="8">
        <f>F53/D53</f>
        <v/>
      </c>
    </row>
    <row r="54" ht="20" customHeight="1">
      <c r="A54" s="9" t="inlineStr">
        <is>
          <t>E181</t>
        </is>
      </c>
      <c r="B54" s="10" t="inlineStr">
        <is>
          <t>Employee_181</t>
        </is>
      </c>
      <c r="C54" s="9" t="inlineStr">
        <is>
          <t>Sales</t>
        </is>
      </c>
      <c r="D54" s="11" t="n">
        <v>25311046</v>
      </c>
      <c r="E54" s="11" t="n">
        <v>1045872</v>
      </c>
      <c r="F54" s="11" t="n">
        <v>597820</v>
      </c>
      <c r="G54" s="12">
        <f>D54+E54-F54</f>
        <v/>
      </c>
      <c r="H54" s="13">
        <f>E54/D54</f>
        <v/>
      </c>
      <c r="I54" s="13">
        <f>F54/D54</f>
        <v/>
      </c>
    </row>
    <row r="55" ht="20" customHeight="1">
      <c r="A55" s="4" t="inlineStr">
        <is>
          <t>E191</t>
        </is>
      </c>
      <c r="B55" s="5" t="inlineStr">
        <is>
          <t>Employee_191</t>
        </is>
      </c>
      <c r="C55" s="4" t="inlineStr">
        <is>
          <t>Sales</t>
        </is>
      </c>
      <c r="D55" s="6" t="n">
        <v>9602205</v>
      </c>
      <c r="E55" s="6" t="n">
        <v>2000175</v>
      </c>
      <c r="F55" s="6" t="n">
        <v>880437</v>
      </c>
      <c r="G55" s="7">
        <f>D55+E55-F55</f>
        <v/>
      </c>
      <c r="H55" s="8">
        <f>E55/D55</f>
        <v/>
      </c>
      <c r="I55" s="8">
        <f>F55/D55</f>
        <v/>
      </c>
    </row>
    <row r="56" ht="25" customHeight="1">
      <c r="A56" s="14" t="inlineStr">
        <is>
          <t>TỔNG CỘNG</t>
        </is>
      </c>
      <c r="B56" s="15" t="inlineStr">
        <is>
          <t>51 nhân sự</t>
        </is>
      </c>
      <c r="C56" s="14" t="inlineStr">
        <is>
          <t>-</t>
        </is>
      </c>
      <c r="D56" s="16">
        <f>SUM(D5:D55)</f>
        <v/>
      </c>
      <c r="E56" s="16">
        <f>SUM(E5:E55)</f>
        <v/>
      </c>
      <c r="F56" s="16">
        <f>SUM(F5:F55)</f>
        <v/>
      </c>
      <c r="G56" s="16">
        <f>SUM(G5:G55)</f>
        <v/>
      </c>
      <c r="H56" s="17">
        <f>E56/D56</f>
        <v/>
      </c>
      <c r="I56" s="17">
        <f>F56/D56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2026-09-09T14:46:58Z</dcterms:created>
  <dcterms:modified xsi:type="dcterms:W3CDTF">2026-09-09T14:46:58Z</dcterms:modified>
</cp:coreProperties>
</file>