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Manager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164" fontId="6" fillId="5" borderId="2" applyAlignment="1" pivotButton="0" quotePrefix="0" xfId="0">
      <alignment horizontal="right"/>
    </xf>
    <xf numFmtId="165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8" customWidth="1" min="5" max="5"/>
    <col width="18" customWidth="1" min="6" max="6"/>
    <col width="22" customWidth="1" min="7" max="7"/>
    <col width="16" customWidth="1" min="8" max="8"/>
    <col width="16" customWidth="1" min="9" max="9"/>
  </cols>
  <sheetData>
    <row r="1" ht="40" customHeight="1">
      <c r="A1" s="1" t="inlineStr">
        <is>
          <t>BÁO CÁO CHI TIẾT LƯƠNG &amp; VẬN HÀNH THÁNG 2026-03 — MANAGER_D</t>
        </is>
      </c>
    </row>
    <row r="2" ht="20" customHeight="1">
      <c r="A2" s="2" t="inlineStr">
        <is>
          <t>Bộ phận quản lý: Đa phòng ban | Nhân sự: 50 nhân viên | Xuất ngày: 09/09/2026</t>
        </is>
      </c>
    </row>
    <row r="3"/>
    <row r="4" ht="26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Bộ Phận</t>
        </is>
      </c>
      <c r="D4" s="3" t="inlineStr">
        <is>
          <t>Lương Cơ Bản (VNĐ)</t>
        </is>
      </c>
      <c r="E4" s="3" t="inlineStr">
        <is>
          <t>Thưởng (VNĐ)</t>
        </is>
      </c>
      <c r="F4" s="3" t="inlineStr">
        <is>
          <t>Phạt (VNĐ)</t>
        </is>
      </c>
      <c r="G4" s="3" t="inlineStr">
        <is>
          <t>Thực Nhận (VNĐ)</t>
        </is>
      </c>
      <c r="H4" s="3" t="inlineStr">
        <is>
          <t>% Thưởng/LCB</t>
        </is>
      </c>
      <c r="I4" s="3" t="inlineStr">
        <is>
          <t>% Phạt/LCB</t>
        </is>
      </c>
    </row>
    <row r="5" ht="20" customHeight="1">
      <c r="A5" s="4" t="inlineStr">
        <is>
          <t>E005</t>
        </is>
      </c>
      <c r="B5" s="5" t="inlineStr">
        <is>
          <t>Employee_5</t>
        </is>
      </c>
      <c r="C5" s="4" t="inlineStr">
        <is>
          <t>Finance</t>
        </is>
      </c>
      <c r="D5" s="6" t="n">
        <v>18288560</v>
      </c>
      <c r="E5" s="6" t="n">
        <v>2108926</v>
      </c>
      <c r="F5" s="6" t="n">
        <v>483473</v>
      </c>
      <c r="G5" s="7">
        <f>D5+E5-F5</f>
        <v/>
      </c>
      <c r="H5" s="8">
        <f>E5/D5</f>
        <v/>
      </c>
      <c r="I5" s="8">
        <f>F5/D5</f>
        <v/>
      </c>
    </row>
    <row r="6" ht="20" customHeight="1">
      <c r="A6" s="9" t="inlineStr">
        <is>
          <t>E018</t>
        </is>
      </c>
      <c r="B6" s="10" t="inlineStr">
        <is>
          <t>Employee_18</t>
        </is>
      </c>
      <c r="C6" s="9" t="inlineStr">
        <is>
          <t>Finance</t>
        </is>
      </c>
      <c r="D6" s="11" t="n">
        <v>27747626</v>
      </c>
      <c r="E6" s="11" t="n">
        <v>3597285</v>
      </c>
      <c r="F6" s="11" t="n">
        <v>640428</v>
      </c>
      <c r="G6" s="12">
        <f>D6+E6-F6</f>
        <v/>
      </c>
      <c r="H6" s="13">
        <f>E6/D6</f>
        <v/>
      </c>
      <c r="I6" s="13">
        <f>F6/D6</f>
        <v/>
      </c>
    </row>
    <row r="7" ht="20" customHeight="1">
      <c r="A7" s="4" t="inlineStr">
        <is>
          <t>E022</t>
        </is>
      </c>
      <c r="B7" s="5" t="inlineStr">
        <is>
          <t>Employee_22</t>
        </is>
      </c>
      <c r="C7" s="4" t="inlineStr">
        <is>
          <t>Finance</t>
        </is>
      </c>
      <c r="D7" s="6" t="n">
        <v>9095211</v>
      </c>
      <c r="E7" s="6" t="n">
        <v>1941763</v>
      </c>
      <c r="F7" s="6" t="n">
        <v>604199</v>
      </c>
      <c r="G7" s="7">
        <f>D7+E7-F7</f>
        <v/>
      </c>
      <c r="H7" s="8">
        <f>E7/D7</f>
        <v/>
      </c>
      <c r="I7" s="8">
        <f>F7/D7</f>
        <v/>
      </c>
    </row>
    <row r="8" ht="20" customHeight="1">
      <c r="A8" s="9" t="inlineStr">
        <is>
          <t>E030</t>
        </is>
      </c>
      <c r="B8" s="10" t="inlineStr">
        <is>
          <t>Employee_30</t>
        </is>
      </c>
      <c r="C8" s="9" t="inlineStr">
        <is>
          <t>Finance</t>
        </is>
      </c>
      <c r="D8" s="11" t="n">
        <v>28257268</v>
      </c>
      <c r="E8" s="11" t="n">
        <v>2100238</v>
      </c>
      <c r="F8" s="11" t="n">
        <v>54242</v>
      </c>
      <c r="G8" s="12">
        <f>D8+E8-F8</f>
        <v/>
      </c>
      <c r="H8" s="13">
        <f>E8/D8</f>
        <v/>
      </c>
      <c r="I8" s="13">
        <f>F8/D8</f>
        <v/>
      </c>
    </row>
    <row r="9" ht="20" customHeight="1">
      <c r="A9" s="4" t="inlineStr">
        <is>
          <t>E053</t>
        </is>
      </c>
      <c r="B9" s="5" t="inlineStr">
        <is>
          <t>Employee_53</t>
        </is>
      </c>
      <c r="C9" s="4" t="inlineStr">
        <is>
          <t>Finance</t>
        </is>
      </c>
      <c r="D9" s="6" t="n">
        <v>14330123</v>
      </c>
      <c r="E9" s="6" t="n">
        <v>2003246</v>
      </c>
      <c r="F9" s="6" t="n">
        <v>1199146</v>
      </c>
      <c r="G9" s="7">
        <f>D9+E9-F9</f>
        <v/>
      </c>
      <c r="H9" s="8">
        <f>E9/D9</f>
        <v/>
      </c>
      <c r="I9" s="8">
        <f>F9/D9</f>
        <v/>
      </c>
    </row>
    <row r="10" ht="20" customHeight="1">
      <c r="A10" s="9" t="inlineStr">
        <is>
          <t>E083</t>
        </is>
      </c>
      <c r="B10" s="10" t="inlineStr">
        <is>
          <t>Employee_83</t>
        </is>
      </c>
      <c r="C10" s="9" t="inlineStr">
        <is>
          <t>Finance</t>
        </is>
      </c>
      <c r="D10" s="11" t="n">
        <v>19365397</v>
      </c>
      <c r="E10" s="11" t="n">
        <v>966113</v>
      </c>
      <c r="F10" s="11" t="n">
        <v>982162</v>
      </c>
      <c r="G10" s="12">
        <f>D10+E10-F10</f>
        <v/>
      </c>
      <c r="H10" s="13">
        <f>E10/D10</f>
        <v/>
      </c>
      <c r="I10" s="13">
        <f>F10/D10</f>
        <v/>
      </c>
    </row>
    <row r="11" ht="20" customHeight="1">
      <c r="A11" s="4" t="inlineStr">
        <is>
          <t>E087</t>
        </is>
      </c>
      <c r="B11" s="5" t="inlineStr">
        <is>
          <t>Employee_87</t>
        </is>
      </c>
      <c r="C11" s="4" t="inlineStr">
        <is>
          <t>Finance</t>
        </is>
      </c>
      <c r="D11" s="6" t="n">
        <v>11635491</v>
      </c>
      <c r="E11" s="6" t="n">
        <v>1961440</v>
      </c>
      <c r="F11" s="6" t="n">
        <v>988758</v>
      </c>
      <c r="G11" s="7">
        <f>D11+E11-F11</f>
        <v/>
      </c>
      <c r="H11" s="8">
        <f>E11/D11</f>
        <v/>
      </c>
      <c r="I11" s="8">
        <f>F11/D11</f>
        <v/>
      </c>
    </row>
    <row r="12" ht="20" customHeight="1">
      <c r="A12" s="9" t="inlineStr">
        <is>
          <t>E135</t>
        </is>
      </c>
      <c r="B12" s="10" t="inlineStr">
        <is>
          <t>Employee_135</t>
        </is>
      </c>
      <c r="C12" s="9" t="inlineStr">
        <is>
          <t>Finance</t>
        </is>
      </c>
      <c r="D12" s="11" t="n">
        <v>9523953</v>
      </c>
      <c r="E12" s="11" t="n">
        <v>1849842</v>
      </c>
      <c r="F12" s="11" t="n">
        <v>828927</v>
      </c>
      <c r="G12" s="12">
        <f>D12+E12-F12</f>
        <v/>
      </c>
      <c r="H12" s="13">
        <f>E12/D12</f>
        <v/>
      </c>
      <c r="I12" s="13">
        <f>F12/D12</f>
        <v/>
      </c>
    </row>
    <row r="13" ht="20" customHeight="1">
      <c r="A13" s="4" t="inlineStr">
        <is>
          <t>E144</t>
        </is>
      </c>
      <c r="B13" s="5" t="inlineStr">
        <is>
          <t>Employee_144</t>
        </is>
      </c>
      <c r="C13" s="4" t="inlineStr">
        <is>
          <t>Finance</t>
        </is>
      </c>
      <c r="D13" s="6" t="n">
        <v>10957148</v>
      </c>
      <c r="E13" s="6" t="n">
        <v>3663403</v>
      </c>
      <c r="F13" s="6" t="n">
        <v>1771012</v>
      </c>
      <c r="G13" s="7">
        <f>D13+E13-F13</f>
        <v/>
      </c>
      <c r="H13" s="8">
        <f>E13/D13</f>
        <v/>
      </c>
      <c r="I13" s="8">
        <f>F13/D13</f>
        <v/>
      </c>
    </row>
    <row r="14" ht="20" customHeight="1">
      <c r="A14" s="9" t="inlineStr">
        <is>
          <t>E152</t>
        </is>
      </c>
      <c r="B14" s="10" t="inlineStr">
        <is>
          <t>Employee_152</t>
        </is>
      </c>
      <c r="C14" s="9" t="inlineStr">
        <is>
          <t>Finance</t>
        </is>
      </c>
      <c r="D14" s="11" t="n">
        <v>29045923</v>
      </c>
      <c r="E14" s="11" t="n">
        <v>2651965</v>
      </c>
      <c r="F14" s="11" t="n">
        <v>316580</v>
      </c>
      <c r="G14" s="12">
        <f>D14+E14-F14</f>
        <v/>
      </c>
      <c r="H14" s="13">
        <f>E14/D14</f>
        <v/>
      </c>
      <c r="I14" s="13">
        <f>F14/D14</f>
        <v/>
      </c>
    </row>
    <row r="15" ht="20" customHeight="1">
      <c r="A15" s="4" t="inlineStr">
        <is>
          <t>E163</t>
        </is>
      </c>
      <c r="B15" s="5" t="inlineStr">
        <is>
          <t>Employee_163</t>
        </is>
      </c>
      <c r="C15" s="4" t="inlineStr">
        <is>
          <t>Finance</t>
        </is>
      </c>
      <c r="D15" s="6" t="n">
        <v>28061720</v>
      </c>
      <c r="E15" s="6" t="n">
        <v>439273</v>
      </c>
      <c r="F15" s="6" t="n">
        <v>1655128</v>
      </c>
      <c r="G15" s="7">
        <f>D15+E15-F15</f>
        <v/>
      </c>
      <c r="H15" s="8">
        <f>E15/D15</f>
        <v/>
      </c>
      <c r="I15" s="8">
        <f>F15/D15</f>
        <v/>
      </c>
    </row>
    <row r="16" ht="20" customHeight="1">
      <c r="A16" s="9" t="inlineStr">
        <is>
          <t>E165</t>
        </is>
      </c>
      <c r="B16" s="10" t="inlineStr">
        <is>
          <t>Employee_165</t>
        </is>
      </c>
      <c r="C16" s="9" t="inlineStr">
        <is>
          <t>Finance</t>
        </is>
      </c>
      <c r="D16" s="11" t="n">
        <v>16455575</v>
      </c>
      <c r="E16" s="11" t="n">
        <v>1261422</v>
      </c>
      <c r="F16" s="11" t="n">
        <v>699110</v>
      </c>
      <c r="G16" s="12">
        <f>D16+E16-F16</f>
        <v/>
      </c>
      <c r="H16" s="13">
        <f>E16/D16</f>
        <v/>
      </c>
      <c r="I16" s="13">
        <f>F16/D16</f>
        <v/>
      </c>
    </row>
    <row r="17" ht="20" customHeight="1">
      <c r="A17" s="4" t="inlineStr">
        <is>
          <t>E168</t>
        </is>
      </c>
      <c r="B17" s="5" t="inlineStr">
        <is>
          <t>Employee_168</t>
        </is>
      </c>
      <c r="C17" s="4" t="inlineStr">
        <is>
          <t>Finance</t>
        </is>
      </c>
      <c r="D17" s="6" t="n">
        <v>12288047</v>
      </c>
      <c r="E17" s="6" t="n">
        <v>4415707</v>
      </c>
      <c r="F17" s="6" t="n">
        <v>195985</v>
      </c>
      <c r="G17" s="7">
        <f>D17+E17-F17</f>
        <v/>
      </c>
      <c r="H17" s="8">
        <f>E17/D17</f>
        <v/>
      </c>
      <c r="I17" s="8">
        <f>F17/D17</f>
        <v/>
      </c>
    </row>
    <row r="18" ht="20" customHeight="1">
      <c r="A18" s="9" t="inlineStr">
        <is>
          <t>E169</t>
        </is>
      </c>
      <c r="B18" s="10" t="inlineStr">
        <is>
          <t>Employee_169</t>
        </is>
      </c>
      <c r="C18" s="9" t="inlineStr">
        <is>
          <t>Finance</t>
        </is>
      </c>
      <c r="D18" s="11" t="n">
        <v>8611715</v>
      </c>
      <c r="E18" s="11" t="n">
        <v>3041689</v>
      </c>
      <c r="F18" s="11" t="n">
        <v>647739</v>
      </c>
      <c r="G18" s="12">
        <f>D18+E18-F18</f>
        <v/>
      </c>
      <c r="H18" s="13">
        <f>E18/D18</f>
        <v/>
      </c>
      <c r="I18" s="13">
        <f>F18/D18</f>
        <v/>
      </c>
    </row>
    <row r="19" ht="20" customHeight="1">
      <c r="A19" s="4" t="inlineStr">
        <is>
          <t>E178</t>
        </is>
      </c>
      <c r="B19" s="5" t="inlineStr">
        <is>
          <t>Employee_178</t>
        </is>
      </c>
      <c r="C19" s="4" t="inlineStr">
        <is>
          <t>Finance</t>
        </is>
      </c>
      <c r="D19" s="6" t="n">
        <v>20813512</v>
      </c>
      <c r="E19" s="6" t="n">
        <v>4218687</v>
      </c>
      <c r="F19" s="6" t="n">
        <v>1106163</v>
      </c>
      <c r="G19" s="7">
        <f>D19+E19-F19</f>
        <v/>
      </c>
      <c r="H19" s="8">
        <f>E19/D19</f>
        <v/>
      </c>
      <c r="I19" s="8">
        <f>F19/D19</f>
        <v/>
      </c>
    </row>
    <row r="20" ht="20" customHeight="1">
      <c r="A20" s="9" t="inlineStr">
        <is>
          <t>E184</t>
        </is>
      </c>
      <c r="B20" s="10" t="inlineStr">
        <is>
          <t>Employee_184</t>
        </is>
      </c>
      <c r="C20" s="9" t="inlineStr">
        <is>
          <t>Finance</t>
        </is>
      </c>
      <c r="D20" s="11" t="n">
        <v>8894903</v>
      </c>
      <c r="E20" s="11" t="n">
        <v>3480407</v>
      </c>
      <c r="F20" s="11" t="n">
        <v>111687</v>
      </c>
      <c r="G20" s="12">
        <f>D20+E20-F20</f>
        <v/>
      </c>
      <c r="H20" s="13">
        <f>E20/D20</f>
        <v/>
      </c>
      <c r="I20" s="13">
        <f>F20/D20</f>
        <v/>
      </c>
    </row>
    <row r="21" ht="20" customHeight="1">
      <c r="A21" s="4" t="inlineStr">
        <is>
          <t>E185</t>
        </is>
      </c>
      <c r="B21" s="5" t="inlineStr">
        <is>
          <t>Employee_185</t>
        </is>
      </c>
      <c r="C21" s="4" t="inlineStr">
        <is>
          <t>Finance</t>
        </is>
      </c>
      <c r="D21" s="6" t="n">
        <v>15911399</v>
      </c>
      <c r="E21" s="6" t="n">
        <v>3239396</v>
      </c>
      <c r="F21" s="6" t="n">
        <v>171139</v>
      </c>
      <c r="G21" s="7">
        <f>D21+E21-F21</f>
        <v/>
      </c>
      <c r="H21" s="8">
        <f>E21/D21</f>
        <v/>
      </c>
      <c r="I21" s="8">
        <f>F21/D21</f>
        <v/>
      </c>
    </row>
    <row r="22" ht="20" customHeight="1">
      <c r="A22" s="9" t="inlineStr">
        <is>
          <t>E197</t>
        </is>
      </c>
      <c r="B22" s="10" t="inlineStr">
        <is>
          <t>Employee_197</t>
        </is>
      </c>
      <c r="C22" s="9" t="inlineStr">
        <is>
          <t>Finance</t>
        </is>
      </c>
      <c r="D22" s="11" t="n">
        <v>16511090</v>
      </c>
      <c r="E22" s="11" t="n">
        <v>136249</v>
      </c>
      <c r="F22" s="11" t="n">
        <v>748880</v>
      </c>
      <c r="G22" s="12">
        <f>D22+E22-F22</f>
        <v/>
      </c>
      <c r="H22" s="13">
        <f>E22/D22</f>
        <v/>
      </c>
      <c r="I22" s="13">
        <f>F22/D22</f>
        <v/>
      </c>
    </row>
    <row r="23" ht="20" customHeight="1">
      <c r="A23" s="4" t="inlineStr">
        <is>
          <t>E017</t>
        </is>
      </c>
      <c r="B23" s="5" t="inlineStr">
        <is>
          <t>Employee_17</t>
        </is>
      </c>
      <c r="C23" s="4" t="inlineStr">
        <is>
          <t>HR</t>
        </is>
      </c>
      <c r="D23" s="6" t="n">
        <v>25534624</v>
      </c>
      <c r="E23" s="6" t="n">
        <v>3190842</v>
      </c>
      <c r="F23" s="6" t="n">
        <v>944797</v>
      </c>
      <c r="G23" s="7">
        <f>D23+E23-F23</f>
        <v/>
      </c>
      <c r="H23" s="8">
        <f>E23/D23</f>
        <v/>
      </c>
      <c r="I23" s="8">
        <f>F23/D23</f>
        <v/>
      </c>
    </row>
    <row r="24" ht="20" customHeight="1">
      <c r="A24" s="9" t="inlineStr">
        <is>
          <t>E048</t>
        </is>
      </c>
      <c r="B24" s="10" t="inlineStr">
        <is>
          <t>Employee_48</t>
        </is>
      </c>
      <c r="C24" s="9" t="inlineStr">
        <is>
          <t>HR</t>
        </is>
      </c>
      <c r="D24" s="11" t="n">
        <v>20871010</v>
      </c>
      <c r="E24" s="11" t="n">
        <v>1598955</v>
      </c>
      <c r="F24" s="11" t="n">
        <v>1933297</v>
      </c>
      <c r="G24" s="12">
        <f>D24+E24-F24</f>
        <v/>
      </c>
      <c r="H24" s="13">
        <f>E24/D24</f>
        <v/>
      </c>
      <c r="I24" s="13">
        <f>F24/D24</f>
        <v/>
      </c>
    </row>
    <row r="25" ht="20" customHeight="1">
      <c r="A25" s="4" t="inlineStr">
        <is>
          <t>E051</t>
        </is>
      </c>
      <c r="B25" s="5" t="inlineStr">
        <is>
          <t>Employee_51</t>
        </is>
      </c>
      <c r="C25" s="4" t="inlineStr">
        <is>
          <t>HR</t>
        </is>
      </c>
      <c r="D25" s="6" t="n">
        <v>22983644</v>
      </c>
      <c r="E25" s="6" t="n">
        <v>4517941</v>
      </c>
      <c r="F25" s="6" t="n">
        <v>1015737</v>
      </c>
      <c r="G25" s="7">
        <f>D25+E25-F25</f>
        <v/>
      </c>
      <c r="H25" s="8">
        <f>E25/D25</f>
        <v/>
      </c>
      <c r="I25" s="8">
        <f>F25/D25</f>
        <v/>
      </c>
    </row>
    <row r="26" ht="20" customHeight="1">
      <c r="A26" s="9" t="inlineStr">
        <is>
          <t>E054</t>
        </is>
      </c>
      <c r="B26" s="10" t="inlineStr">
        <is>
          <t>Employee_54</t>
        </is>
      </c>
      <c r="C26" s="9" t="inlineStr">
        <is>
          <t>HR</t>
        </is>
      </c>
      <c r="D26" s="11" t="n">
        <v>21783325</v>
      </c>
      <c r="E26" s="11" t="n">
        <v>366140</v>
      </c>
      <c r="F26" s="11" t="n">
        <v>667264</v>
      </c>
      <c r="G26" s="12">
        <f>D26+E26-F26</f>
        <v/>
      </c>
      <c r="H26" s="13">
        <f>E26/D26</f>
        <v/>
      </c>
      <c r="I26" s="13">
        <f>F26/D26</f>
        <v/>
      </c>
    </row>
    <row r="27" ht="20" customHeight="1">
      <c r="A27" s="4" t="inlineStr">
        <is>
          <t>E068</t>
        </is>
      </c>
      <c r="B27" s="5" t="inlineStr">
        <is>
          <t>Employee_68</t>
        </is>
      </c>
      <c r="C27" s="4" t="inlineStr">
        <is>
          <t>HR</t>
        </is>
      </c>
      <c r="D27" s="6" t="n">
        <v>24698941</v>
      </c>
      <c r="E27" s="6" t="n">
        <v>4891876</v>
      </c>
      <c r="F27" s="6" t="n">
        <v>300139</v>
      </c>
      <c r="G27" s="7">
        <f>D27+E27-F27</f>
        <v/>
      </c>
      <c r="H27" s="8">
        <f>E27/D27</f>
        <v/>
      </c>
      <c r="I27" s="8">
        <f>F27/D27</f>
        <v/>
      </c>
    </row>
    <row r="28" ht="20" customHeight="1">
      <c r="A28" s="9" t="inlineStr">
        <is>
          <t>E081</t>
        </is>
      </c>
      <c r="B28" s="10" t="inlineStr">
        <is>
          <t>Employee_81</t>
        </is>
      </c>
      <c r="C28" s="9" t="inlineStr">
        <is>
          <t>HR</t>
        </is>
      </c>
      <c r="D28" s="11" t="n">
        <v>14737555</v>
      </c>
      <c r="E28" s="11" t="n">
        <v>1108636</v>
      </c>
      <c r="F28" s="11" t="n">
        <v>1649436</v>
      </c>
      <c r="G28" s="12">
        <f>D28+E28-F28</f>
        <v/>
      </c>
      <c r="H28" s="13">
        <f>E28/D28</f>
        <v/>
      </c>
      <c r="I28" s="13">
        <f>F28/D28</f>
        <v/>
      </c>
    </row>
    <row r="29" ht="20" customHeight="1">
      <c r="A29" s="4" t="inlineStr">
        <is>
          <t>E159</t>
        </is>
      </c>
      <c r="B29" s="5" t="inlineStr">
        <is>
          <t>Employee_159</t>
        </is>
      </c>
      <c r="C29" s="4" t="inlineStr">
        <is>
          <t>HR</t>
        </is>
      </c>
      <c r="D29" s="6" t="n">
        <v>10076136</v>
      </c>
      <c r="E29" s="6" t="n">
        <v>3779261</v>
      </c>
      <c r="F29" s="6" t="n">
        <v>217059</v>
      </c>
      <c r="G29" s="7">
        <f>D29+E29-F29</f>
        <v/>
      </c>
      <c r="H29" s="8">
        <f>E29/D29</f>
        <v/>
      </c>
      <c r="I29" s="8">
        <f>F29/D29</f>
        <v/>
      </c>
    </row>
    <row r="30" ht="20" customHeight="1">
      <c r="A30" s="9" t="inlineStr">
        <is>
          <t>E167</t>
        </is>
      </c>
      <c r="B30" s="10" t="inlineStr">
        <is>
          <t>Employee_167</t>
        </is>
      </c>
      <c r="C30" s="9" t="inlineStr">
        <is>
          <t>HR</t>
        </is>
      </c>
      <c r="D30" s="11" t="n">
        <v>27966270</v>
      </c>
      <c r="E30" s="11" t="n">
        <v>710674</v>
      </c>
      <c r="F30" s="11" t="n">
        <v>649240</v>
      </c>
      <c r="G30" s="12">
        <f>D30+E30-F30</f>
        <v/>
      </c>
      <c r="H30" s="13">
        <f>E30/D30</f>
        <v/>
      </c>
      <c r="I30" s="13">
        <f>F30/D30</f>
        <v/>
      </c>
    </row>
    <row r="31" ht="20" customHeight="1">
      <c r="A31" s="4" t="inlineStr">
        <is>
          <t>E173</t>
        </is>
      </c>
      <c r="B31" s="5" t="inlineStr">
        <is>
          <t>Employee_173</t>
        </is>
      </c>
      <c r="C31" s="4" t="inlineStr">
        <is>
          <t>HR</t>
        </is>
      </c>
      <c r="D31" s="6" t="n">
        <v>13444113</v>
      </c>
      <c r="E31" s="6" t="n">
        <v>1517045</v>
      </c>
      <c r="F31" s="6" t="n">
        <v>1743456</v>
      </c>
      <c r="G31" s="7">
        <f>D31+E31-F31</f>
        <v/>
      </c>
      <c r="H31" s="8">
        <f>E31/D31</f>
        <v/>
      </c>
      <c r="I31" s="8">
        <f>F31/D31</f>
        <v/>
      </c>
    </row>
    <row r="32" ht="20" customHeight="1">
      <c r="A32" s="9" t="inlineStr">
        <is>
          <t>E176</t>
        </is>
      </c>
      <c r="B32" s="10" t="inlineStr">
        <is>
          <t>Employee_176</t>
        </is>
      </c>
      <c r="C32" s="9" t="inlineStr">
        <is>
          <t>HR</t>
        </is>
      </c>
      <c r="D32" s="11" t="n">
        <v>25918440</v>
      </c>
      <c r="E32" s="11" t="n">
        <v>2006290</v>
      </c>
      <c r="F32" s="11" t="n">
        <v>649001</v>
      </c>
      <c r="G32" s="12">
        <f>D32+E32-F32</f>
        <v/>
      </c>
      <c r="H32" s="13">
        <f>E32/D32</f>
        <v/>
      </c>
      <c r="I32" s="13">
        <f>F32/D32</f>
        <v/>
      </c>
    </row>
    <row r="33" ht="20" customHeight="1">
      <c r="A33" s="4" t="inlineStr">
        <is>
          <t>E177</t>
        </is>
      </c>
      <c r="B33" s="5" t="inlineStr">
        <is>
          <t>Employee_177</t>
        </is>
      </c>
      <c r="C33" s="4" t="inlineStr">
        <is>
          <t>HR</t>
        </is>
      </c>
      <c r="D33" s="6" t="n">
        <v>20342694</v>
      </c>
      <c r="E33" s="6" t="n">
        <v>4785024</v>
      </c>
      <c r="F33" s="6" t="n">
        <v>923999</v>
      </c>
      <c r="G33" s="7">
        <f>D33+E33-F33</f>
        <v/>
      </c>
      <c r="H33" s="8">
        <f>E33/D33</f>
        <v/>
      </c>
      <c r="I33" s="8">
        <f>F33/D33</f>
        <v/>
      </c>
    </row>
    <row r="34" ht="20" customHeight="1">
      <c r="A34" s="9" t="inlineStr">
        <is>
          <t>E179</t>
        </is>
      </c>
      <c r="B34" s="10" t="inlineStr">
        <is>
          <t>Employee_179</t>
        </is>
      </c>
      <c r="C34" s="9" t="inlineStr">
        <is>
          <t>HR</t>
        </is>
      </c>
      <c r="D34" s="11" t="n">
        <v>14700743</v>
      </c>
      <c r="E34" s="11" t="n">
        <v>1160971</v>
      </c>
      <c r="F34" s="11" t="n">
        <v>1830817</v>
      </c>
      <c r="G34" s="12">
        <f>D34+E34-F34</f>
        <v/>
      </c>
      <c r="H34" s="13">
        <f>E34/D34</f>
        <v/>
      </c>
      <c r="I34" s="13">
        <f>F34/D34</f>
        <v/>
      </c>
    </row>
    <row r="35" ht="20" customHeight="1">
      <c r="A35" s="4" t="inlineStr">
        <is>
          <t>E029</t>
        </is>
      </c>
      <c r="B35" s="5" t="inlineStr">
        <is>
          <t>Employee_29</t>
        </is>
      </c>
      <c r="C35" s="4" t="inlineStr">
        <is>
          <t>Operations</t>
        </is>
      </c>
      <c r="D35" s="6" t="n">
        <v>10699180</v>
      </c>
      <c r="E35" s="6" t="n">
        <v>334376</v>
      </c>
      <c r="F35" s="6" t="n">
        <v>1865254</v>
      </c>
      <c r="G35" s="7">
        <f>D35+E35-F35</f>
        <v/>
      </c>
      <c r="H35" s="8">
        <f>E35/D35</f>
        <v/>
      </c>
      <c r="I35" s="8">
        <f>F35/D35</f>
        <v/>
      </c>
    </row>
    <row r="36" ht="20" customHeight="1">
      <c r="A36" s="9" t="inlineStr">
        <is>
          <t>E037</t>
        </is>
      </c>
      <c r="B36" s="10" t="inlineStr">
        <is>
          <t>Employee_37</t>
        </is>
      </c>
      <c r="C36" s="9" t="inlineStr">
        <is>
          <t>Operations</t>
        </is>
      </c>
      <c r="D36" s="11" t="n">
        <v>17670984</v>
      </c>
      <c r="E36" s="11" t="n">
        <v>3359236</v>
      </c>
      <c r="F36" s="11" t="n">
        <v>1706171</v>
      </c>
      <c r="G36" s="12">
        <f>D36+E36-F36</f>
        <v/>
      </c>
      <c r="H36" s="13">
        <f>E36/D36</f>
        <v/>
      </c>
      <c r="I36" s="13">
        <f>F36/D36</f>
        <v/>
      </c>
    </row>
    <row r="37" ht="20" customHeight="1">
      <c r="A37" s="4" t="inlineStr">
        <is>
          <t>E055</t>
        </is>
      </c>
      <c r="B37" s="5" t="inlineStr">
        <is>
          <t>Employee_55</t>
        </is>
      </c>
      <c r="C37" s="4" t="inlineStr">
        <is>
          <t>Operations</t>
        </is>
      </c>
      <c r="D37" s="6" t="n">
        <v>20954653</v>
      </c>
      <c r="E37" s="6" t="n">
        <v>1275951</v>
      </c>
      <c r="F37" s="6" t="n">
        <v>1038779</v>
      </c>
      <c r="G37" s="7">
        <f>D37+E37-F37</f>
        <v/>
      </c>
      <c r="H37" s="8">
        <f>E37/D37</f>
        <v/>
      </c>
      <c r="I37" s="8">
        <f>F37/D37</f>
        <v/>
      </c>
    </row>
    <row r="38" ht="20" customHeight="1">
      <c r="A38" s="9" t="inlineStr">
        <is>
          <t>E092</t>
        </is>
      </c>
      <c r="B38" s="10" t="inlineStr">
        <is>
          <t>Employee_92</t>
        </is>
      </c>
      <c r="C38" s="9" t="inlineStr">
        <is>
          <t>Operations</t>
        </is>
      </c>
      <c r="D38" s="11" t="n">
        <v>20449080</v>
      </c>
      <c r="E38" s="11" t="n">
        <v>4531463</v>
      </c>
      <c r="F38" s="11" t="n">
        <v>878972</v>
      </c>
      <c r="G38" s="12">
        <f>D38+E38-F38</f>
        <v/>
      </c>
      <c r="H38" s="13">
        <f>E38/D38</f>
        <v/>
      </c>
      <c r="I38" s="13">
        <f>F38/D38</f>
        <v/>
      </c>
    </row>
    <row r="39" ht="20" customHeight="1">
      <c r="A39" s="4" t="inlineStr">
        <is>
          <t>E094</t>
        </is>
      </c>
      <c r="B39" s="5" t="inlineStr">
        <is>
          <t>Employee_94</t>
        </is>
      </c>
      <c r="C39" s="4" t="inlineStr">
        <is>
          <t>Operations</t>
        </is>
      </c>
      <c r="D39" s="6" t="n">
        <v>17386521</v>
      </c>
      <c r="E39" s="6" t="n">
        <v>274444</v>
      </c>
      <c r="F39" s="6" t="n">
        <v>1447623</v>
      </c>
      <c r="G39" s="7">
        <f>D39+E39-F39</f>
        <v/>
      </c>
      <c r="H39" s="8">
        <f>E39/D39</f>
        <v/>
      </c>
      <c r="I39" s="8">
        <f>F39/D39</f>
        <v/>
      </c>
    </row>
    <row r="40" ht="20" customHeight="1">
      <c r="A40" s="9" t="inlineStr">
        <is>
          <t>E109</t>
        </is>
      </c>
      <c r="B40" s="10" t="inlineStr">
        <is>
          <t>Employee_109</t>
        </is>
      </c>
      <c r="C40" s="9" t="inlineStr">
        <is>
          <t>Operations</t>
        </is>
      </c>
      <c r="D40" s="11" t="n">
        <v>22303369</v>
      </c>
      <c r="E40" s="11" t="n">
        <v>905649</v>
      </c>
      <c r="F40" s="11" t="n">
        <v>1028168</v>
      </c>
      <c r="G40" s="12">
        <f>D40+E40-F40</f>
        <v/>
      </c>
      <c r="H40" s="13">
        <f>E40/D40</f>
        <v/>
      </c>
      <c r="I40" s="13">
        <f>F40/D40</f>
        <v/>
      </c>
    </row>
    <row r="41" ht="20" customHeight="1">
      <c r="A41" s="4" t="inlineStr">
        <is>
          <t>E113</t>
        </is>
      </c>
      <c r="B41" s="5" t="inlineStr">
        <is>
          <t>Employee_113</t>
        </is>
      </c>
      <c r="C41" s="4" t="inlineStr">
        <is>
          <t>Operations</t>
        </is>
      </c>
      <c r="D41" s="6" t="n">
        <v>11327876</v>
      </c>
      <c r="E41" s="6" t="n">
        <v>959774</v>
      </c>
      <c r="F41" s="6" t="n">
        <v>1788435</v>
      </c>
      <c r="G41" s="7">
        <f>D41+E41-F41</f>
        <v/>
      </c>
      <c r="H41" s="8">
        <f>E41/D41</f>
        <v/>
      </c>
      <c r="I41" s="8">
        <f>F41/D41</f>
        <v/>
      </c>
    </row>
    <row r="42" ht="20" customHeight="1">
      <c r="A42" s="9" t="inlineStr">
        <is>
          <t>E129</t>
        </is>
      </c>
      <c r="B42" s="10" t="inlineStr">
        <is>
          <t>Employee_129</t>
        </is>
      </c>
      <c r="C42" s="9" t="inlineStr">
        <is>
          <t>Operations</t>
        </is>
      </c>
      <c r="D42" s="11" t="n">
        <v>19438571</v>
      </c>
      <c r="E42" s="11" t="n">
        <v>1320444</v>
      </c>
      <c r="F42" s="11" t="n">
        <v>776057</v>
      </c>
      <c r="G42" s="12">
        <f>D42+E42-F42</f>
        <v/>
      </c>
      <c r="H42" s="13">
        <f>E42/D42</f>
        <v/>
      </c>
      <c r="I42" s="13">
        <f>F42/D42</f>
        <v/>
      </c>
    </row>
    <row r="43" ht="20" customHeight="1">
      <c r="A43" s="4" t="inlineStr">
        <is>
          <t>E133</t>
        </is>
      </c>
      <c r="B43" s="5" t="inlineStr">
        <is>
          <t>Employee_133</t>
        </is>
      </c>
      <c r="C43" s="4" t="inlineStr">
        <is>
          <t>Operations</t>
        </is>
      </c>
      <c r="D43" s="6" t="n">
        <v>17165958</v>
      </c>
      <c r="E43" s="6" t="n">
        <v>1808323</v>
      </c>
      <c r="F43" s="6" t="n">
        <v>1583230</v>
      </c>
      <c r="G43" s="7">
        <f>D43+E43-F43</f>
        <v/>
      </c>
      <c r="H43" s="8">
        <f>E43/D43</f>
        <v/>
      </c>
      <c r="I43" s="8">
        <f>F43/D43</f>
        <v/>
      </c>
    </row>
    <row r="44" ht="20" customHeight="1">
      <c r="A44" s="9" t="inlineStr">
        <is>
          <t>E142</t>
        </is>
      </c>
      <c r="B44" s="10" t="inlineStr">
        <is>
          <t>Employee_142</t>
        </is>
      </c>
      <c r="C44" s="9" t="inlineStr">
        <is>
          <t>Operations</t>
        </is>
      </c>
      <c r="D44" s="11" t="n">
        <v>29479590</v>
      </c>
      <c r="E44" s="11" t="n">
        <v>3503870</v>
      </c>
      <c r="F44" s="11" t="n">
        <v>607157</v>
      </c>
      <c r="G44" s="12">
        <f>D44+E44-F44</f>
        <v/>
      </c>
      <c r="H44" s="13">
        <f>E44/D44</f>
        <v/>
      </c>
      <c r="I44" s="13">
        <f>F44/D44</f>
        <v/>
      </c>
    </row>
    <row r="45" ht="20" customHeight="1">
      <c r="A45" s="4" t="inlineStr">
        <is>
          <t>E014</t>
        </is>
      </c>
      <c r="B45" s="5" t="inlineStr">
        <is>
          <t>Employee_14</t>
        </is>
      </c>
      <c r="C45" s="4" t="inlineStr">
        <is>
          <t>Sales</t>
        </is>
      </c>
      <c r="D45" s="6" t="n">
        <v>10192561</v>
      </c>
      <c r="E45" s="6" t="n">
        <v>3361377</v>
      </c>
      <c r="F45" s="6" t="n">
        <v>1031267</v>
      </c>
      <c r="G45" s="7">
        <f>D45+E45-F45</f>
        <v/>
      </c>
      <c r="H45" s="8">
        <f>E45/D45</f>
        <v/>
      </c>
      <c r="I45" s="8">
        <f>F45/D45</f>
        <v/>
      </c>
    </row>
    <row r="46" ht="20" customHeight="1">
      <c r="A46" s="9" t="inlineStr">
        <is>
          <t>E035</t>
        </is>
      </c>
      <c r="B46" s="10" t="inlineStr">
        <is>
          <t>Employee_35</t>
        </is>
      </c>
      <c r="C46" s="9" t="inlineStr">
        <is>
          <t>Sales</t>
        </is>
      </c>
      <c r="D46" s="11" t="n">
        <v>23770931</v>
      </c>
      <c r="E46" s="11" t="n">
        <v>2918908</v>
      </c>
      <c r="F46" s="11" t="n">
        <v>856368</v>
      </c>
      <c r="G46" s="12">
        <f>D46+E46-F46</f>
        <v/>
      </c>
      <c r="H46" s="13">
        <f>E46/D46</f>
        <v/>
      </c>
      <c r="I46" s="13">
        <f>F46/D46</f>
        <v/>
      </c>
    </row>
    <row r="47" ht="20" customHeight="1">
      <c r="A47" s="4" t="inlineStr">
        <is>
          <t>E045</t>
        </is>
      </c>
      <c r="B47" s="5" t="inlineStr">
        <is>
          <t>Employee_45</t>
        </is>
      </c>
      <c r="C47" s="4" t="inlineStr">
        <is>
          <t>Sales</t>
        </is>
      </c>
      <c r="D47" s="6" t="n">
        <v>15539702</v>
      </c>
      <c r="E47" s="6" t="n">
        <v>951780</v>
      </c>
      <c r="F47" s="6" t="n">
        <v>967726</v>
      </c>
      <c r="G47" s="7">
        <f>D47+E47-F47</f>
        <v/>
      </c>
      <c r="H47" s="8">
        <f>E47/D47</f>
        <v/>
      </c>
      <c r="I47" s="8">
        <f>F47/D47</f>
        <v/>
      </c>
    </row>
    <row r="48" ht="20" customHeight="1">
      <c r="A48" s="9" t="inlineStr">
        <is>
          <t>E058</t>
        </is>
      </c>
      <c r="B48" s="10" t="inlineStr">
        <is>
          <t>Employee_58</t>
        </is>
      </c>
      <c r="C48" s="9" t="inlineStr">
        <is>
          <t>Sales</t>
        </is>
      </c>
      <c r="D48" s="11" t="n">
        <v>12837053</v>
      </c>
      <c r="E48" s="11" t="n">
        <v>3439149</v>
      </c>
      <c r="F48" s="11" t="n">
        <v>1826478</v>
      </c>
      <c r="G48" s="12">
        <f>D48+E48-F48</f>
        <v/>
      </c>
      <c r="H48" s="13">
        <f>E48/D48</f>
        <v/>
      </c>
      <c r="I48" s="13">
        <f>F48/D48</f>
        <v/>
      </c>
    </row>
    <row r="49" ht="20" customHeight="1">
      <c r="A49" s="4" t="inlineStr">
        <is>
          <t>E060</t>
        </is>
      </c>
      <c r="B49" s="5" t="inlineStr">
        <is>
          <t>Employee_60</t>
        </is>
      </c>
      <c r="C49" s="4" t="inlineStr">
        <is>
          <t>Sales</t>
        </is>
      </c>
      <c r="D49" s="6" t="n">
        <v>19024831</v>
      </c>
      <c r="E49" s="6" t="n">
        <v>4476348</v>
      </c>
      <c r="F49" s="6" t="n">
        <v>796937</v>
      </c>
      <c r="G49" s="7">
        <f>D49+E49-F49</f>
        <v/>
      </c>
      <c r="H49" s="8">
        <f>E49/D49</f>
        <v/>
      </c>
      <c r="I49" s="8">
        <f>F49/D49</f>
        <v/>
      </c>
    </row>
    <row r="50" ht="20" customHeight="1">
      <c r="A50" s="9" t="inlineStr">
        <is>
          <t>E106</t>
        </is>
      </c>
      <c r="B50" s="10" t="inlineStr">
        <is>
          <t>Employee_106</t>
        </is>
      </c>
      <c r="C50" s="9" t="inlineStr">
        <is>
          <t>Sales</t>
        </is>
      </c>
      <c r="D50" s="11" t="n">
        <v>10132653</v>
      </c>
      <c r="E50" s="11" t="n">
        <v>3995040</v>
      </c>
      <c r="F50" s="11" t="n">
        <v>940101</v>
      </c>
      <c r="G50" s="12">
        <f>D50+E50-F50</f>
        <v/>
      </c>
      <c r="H50" s="13">
        <f>E50/D50</f>
        <v/>
      </c>
      <c r="I50" s="13">
        <f>F50/D50</f>
        <v/>
      </c>
    </row>
    <row r="51" ht="20" customHeight="1">
      <c r="A51" s="4" t="inlineStr">
        <is>
          <t>E110</t>
        </is>
      </c>
      <c r="B51" s="5" t="inlineStr">
        <is>
          <t>Employee_110</t>
        </is>
      </c>
      <c r="C51" s="4" t="inlineStr">
        <is>
          <t>Sales</t>
        </is>
      </c>
      <c r="D51" s="6" t="n">
        <v>10710878</v>
      </c>
      <c r="E51" s="6" t="n">
        <v>2702069</v>
      </c>
      <c r="F51" s="6" t="n">
        <v>1275692</v>
      </c>
      <c r="G51" s="7">
        <f>D51+E51-F51</f>
        <v/>
      </c>
      <c r="H51" s="8">
        <f>E51/D51</f>
        <v/>
      </c>
      <c r="I51" s="8">
        <f>F51/D51</f>
        <v/>
      </c>
    </row>
    <row r="52" ht="20" customHeight="1">
      <c r="A52" s="9" t="inlineStr">
        <is>
          <t>E121</t>
        </is>
      </c>
      <c r="B52" s="10" t="inlineStr">
        <is>
          <t>Employee_121</t>
        </is>
      </c>
      <c r="C52" s="9" t="inlineStr">
        <is>
          <t>Sales</t>
        </is>
      </c>
      <c r="D52" s="11" t="n">
        <v>17651241</v>
      </c>
      <c r="E52" s="11" t="n">
        <v>2621011</v>
      </c>
      <c r="F52" s="11" t="n">
        <v>737455</v>
      </c>
      <c r="G52" s="12">
        <f>D52+E52-F52</f>
        <v/>
      </c>
      <c r="H52" s="13">
        <f>E52/D52</f>
        <v/>
      </c>
      <c r="I52" s="13">
        <f>F52/D52</f>
        <v/>
      </c>
    </row>
    <row r="53" ht="20" customHeight="1">
      <c r="A53" s="4" t="inlineStr">
        <is>
          <t>E153</t>
        </is>
      </c>
      <c r="B53" s="5" t="inlineStr">
        <is>
          <t>Employee_153</t>
        </is>
      </c>
      <c r="C53" s="4" t="inlineStr">
        <is>
          <t>Sales</t>
        </is>
      </c>
      <c r="D53" s="6" t="n">
        <v>23734380</v>
      </c>
      <c r="E53" s="6" t="n">
        <v>3709510</v>
      </c>
      <c r="F53" s="6" t="n">
        <v>1324110</v>
      </c>
      <c r="G53" s="7">
        <f>D53+E53-F53</f>
        <v/>
      </c>
      <c r="H53" s="8">
        <f>E53/D53</f>
        <v/>
      </c>
      <c r="I53" s="8">
        <f>F53/D53</f>
        <v/>
      </c>
    </row>
    <row r="54" ht="20" customHeight="1">
      <c r="A54" s="9" t="inlineStr">
        <is>
          <t>E192</t>
        </is>
      </c>
      <c r="B54" s="10" t="inlineStr">
        <is>
          <t>Employee_192</t>
        </is>
      </c>
      <c r="C54" s="9" t="inlineStr">
        <is>
          <t>Sales</t>
        </is>
      </c>
      <c r="D54" s="11" t="n">
        <v>11719773</v>
      </c>
      <c r="E54" s="11" t="n">
        <v>4192871</v>
      </c>
      <c r="F54" s="11" t="n">
        <v>1251452</v>
      </c>
      <c r="G54" s="12">
        <f>D54+E54-F54</f>
        <v/>
      </c>
      <c r="H54" s="13">
        <f>E54/D54</f>
        <v/>
      </c>
      <c r="I54" s="13">
        <f>F54/D54</f>
        <v/>
      </c>
    </row>
    <row r="55" ht="25" customHeight="1">
      <c r="A55" s="14" t="inlineStr">
        <is>
          <t>TỔNG CỘNG</t>
        </is>
      </c>
      <c r="B55" s="15" t="inlineStr">
        <is>
          <t>50 nhân sự</t>
        </is>
      </c>
      <c r="C55" s="14" t="inlineStr">
        <is>
          <t>-</t>
        </is>
      </c>
      <c r="D55" s="16">
        <f>SUM(D5:D54)</f>
        <v/>
      </c>
      <c r="E55" s="16">
        <f>SUM(E5:E54)</f>
        <v/>
      </c>
      <c r="F55" s="16">
        <f>SUM(F5:F54)</f>
        <v/>
      </c>
      <c r="G55" s="16">
        <f>SUM(G5:G54)</f>
        <v/>
      </c>
      <c r="H55" s="17">
        <f>E55/D55</f>
        <v/>
      </c>
      <c r="I55" s="17">
        <f>F55/D55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2026-09-09T14:46:58Z</dcterms:created>
  <dcterms:modified xsi:type="dcterms:W3CDTF">2026-09-09T14:46:58Z</dcterms:modified>
</cp:coreProperties>
</file>